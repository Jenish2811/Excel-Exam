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hidePivotFieldList="1" defaultThemeVersion="202300"/>
  <mc:AlternateContent xmlns:mc="http://schemas.openxmlformats.org/markup-compatibility/2006">
    <mc:Choice Requires="x15">
      <x15ac:absPath xmlns:x15ac="http://schemas.microsoft.com/office/spreadsheetml/2010/11/ac" url="/Users/jenishpatel/Documents/"/>
    </mc:Choice>
  </mc:AlternateContent>
  <xr:revisionPtr revIDLastSave="0" documentId="13_ncr:1_{7E380215-A8C9-5A43-86E4-1F6FB9EB35B3}" xr6:coauthVersionLast="47" xr6:coauthVersionMax="47" xr10:uidLastSave="{00000000-0000-0000-0000-000000000000}"/>
  <bookViews>
    <workbookView xWindow="0" yWindow="580" windowWidth="29920" windowHeight="17460" activeTab="3" xr2:uid="{F30B5CDF-61A3-084F-8EBC-9CA433C29CB1}"/>
  </bookViews>
  <sheets>
    <sheet name="Scenario Summary" sheetId="16" r:id="rId1"/>
    <sheet name="PIVOT TABLE" sheetId="2" r:id="rId2"/>
    <sheet name="Charts Of Pivot Tables" sheetId="3" r:id="rId3"/>
    <sheet name="Dynamic Ranges" sheetId="9" r:id="rId4"/>
    <sheet name="ELECTRONIC DATASET" sheetId="1" r:id="rId5"/>
    <sheet name="Conditional Formmating" sheetId="8" r:id="rId6"/>
  </sheets>
  <definedNames>
    <definedName name="NativeTimeline_Purchase_Date">#N/A</definedName>
    <definedName name="Slicer_Order_Status">#N/A</definedName>
    <definedName name="Slicer_Payment_Method">#N/A</definedName>
    <definedName name="Slicer_Product_Type">#N/A</definedName>
    <definedName name="Slicer_Years__Purchase_Date">#N/A</definedName>
  </definedNames>
  <calcPr calcId="191029"/>
  <pivotCaches>
    <pivotCache cacheId="9"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9" i="1" l="1"/>
  <c r="G4" i="9" a="1"/>
  <c r="G4" i="9" s="1"/>
  <c r="R13" i="3"/>
  <c r="H13" i="3"/>
  <c r="M13" i="3"/>
  <c r="V2" i="1"/>
  <c r="S2" i="1"/>
  <c r="A52" i="1"/>
  <c r="P2" i="1"/>
  <c r="C13"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<sst xmlns="http://schemas.openxmlformats.org/spreadsheetml/2006/main" count="1420" uniqueCount="65">
  <si>
    <t>Customer ID</t>
  </si>
  <si>
    <t>Age</t>
  </si>
  <si>
    <t>Gender</t>
  </si>
  <si>
    <t>Loyalty Member</t>
  </si>
  <si>
    <t>Product Type</t>
  </si>
  <si>
    <t>SKU</t>
  </si>
  <si>
    <t>Rating</t>
  </si>
  <si>
    <t>Order Status</t>
  </si>
  <si>
    <t>Payment Method</t>
  </si>
  <si>
    <t>Total Price</t>
  </si>
  <si>
    <t>Unit Price</t>
  </si>
  <si>
    <t>Quantity</t>
  </si>
  <si>
    <t>Purchase Date</t>
  </si>
  <si>
    <t>Add-on Total</t>
  </si>
  <si>
    <t>Male</t>
  </si>
  <si>
    <t>No</t>
  </si>
  <si>
    <t>Smartphone</t>
  </si>
  <si>
    <t>SKU1004</t>
  </si>
  <si>
    <t>Cancelled</t>
  </si>
  <si>
    <t>Credit Card</t>
  </si>
  <si>
    <t>Tablet</t>
  </si>
  <si>
    <t>SKU1002</t>
  </si>
  <si>
    <t>Completed</t>
  </si>
  <si>
    <t>Paypal</t>
  </si>
  <si>
    <t>Laptop</t>
  </si>
  <si>
    <t>SKU1005</t>
  </si>
  <si>
    <t>Yes</t>
  </si>
  <si>
    <t>Cash</t>
  </si>
  <si>
    <t>SKU1001</t>
  </si>
  <si>
    <t>Female</t>
  </si>
  <si>
    <t>Smartwatch</t>
  </si>
  <si>
    <t>SKU1003</t>
  </si>
  <si>
    <t>Debit Card</t>
  </si>
  <si>
    <t>VLOOKUP</t>
  </si>
  <si>
    <t>Product</t>
  </si>
  <si>
    <t>INDEX + MATCH FUNCTION</t>
  </si>
  <si>
    <t>NESTED IF</t>
  </si>
  <si>
    <t>CATEGORY</t>
  </si>
  <si>
    <t>Grand Total</t>
  </si>
  <si>
    <t>Sum of Total Price</t>
  </si>
  <si>
    <t>Payment</t>
  </si>
  <si>
    <t>Sum of Customer ID</t>
  </si>
  <si>
    <t>2023</t>
  </si>
  <si>
    <t>2024</t>
  </si>
  <si>
    <t>Year</t>
  </si>
  <si>
    <t>Product_Type</t>
  </si>
  <si>
    <t>Price</t>
  </si>
  <si>
    <t>Created by JENISH PATEL on 3/1/2026</t>
  </si>
  <si>
    <t>Scenario Summary</t>
  </si>
  <si>
    <t>Changing Cells:</t>
  </si>
  <si>
    <t>Current Values:</t>
  </si>
  <si>
    <t>Notes:  Current Values column represents values of changing cells at</t>
  </si>
  <si>
    <t>time Scenario Summary Report was created.  Changing cells for each</t>
  </si>
  <si>
    <t>scenario are highlighted in gray.</t>
  </si>
  <si>
    <t>Sum of Quantity</t>
  </si>
  <si>
    <t>Sum of Unit Price</t>
  </si>
  <si>
    <t>$G$26</t>
  </si>
  <si>
    <t>$H$26</t>
  </si>
  <si>
    <t>$I$26</t>
  </si>
  <si>
    <t>$G$27</t>
  </si>
  <si>
    <t>$H$27</t>
  </si>
  <si>
    <t>$I$27</t>
  </si>
  <si>
    <t>Summarization</t>
  </si>
  <si>
    <t>IF CONDITION</t>
  </si>
  <si>
    <t>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</si>
</sst>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2" x14ac:knownFonts="1">
    <font>
      <sz val="12"/>
      <color theme="1"/>
      <name val="Aptos Narrow"/>
      <family val="2"/>
      <scheme val="minor"/>
    </font>
    <font>
      <b/>
      <sz val="12"/>
      <color theme="1"/>
      <name val="Aptos Narrow"/>
      <family val="2"/>
      <scheme val="minor"/>
    </font>
    <font>
      <b/>
      <sz val="10"/>
      <color rgb="FF000000"/>
      <name val="Helvetica Neue"/>
      <family val="2"/>
    </font>
    <font>
      <sz val="12"/>
      <color theme="1"/>
      <name val="Aptos Narrow"/>
      <family val="2"/>
      <scheme val="minor"/>
    </font>
    <font>
      <b/>
      <sz val="12"/>
      <color theme="1"/>
      <name val="Aptos Narrow"/>
      <scheme val="minor"/>
    </font>
    <font>
      <b/>
      <sz val="24"/>
      <color theme="1"/>
      <name val="Aptos Narrow"/>
      <scheme val="minor"/>
    </font>
    <font>
      <b/>
      <sz val="24"/>
      <color rgb="FF000000"/>
      <name val="Aptos Narrow"/>
      <scheme val="minor"/>
    </font>
    <font>
      <b/>
      <sz val="14"/>
      <color indexed="9"/>
      <name val="Aptos Narrow"/>
      <family val="2"/>
      <scheme val="minor"/>
    </font>
    <font>
      <b/>
      <sz val="12"/>
      <color indexed="8"/>
      <name val="Aptos Narrow"/>
      <family val="2"/>
      <scheme val="minor"/>
    </font>
    <font>
      <b/>
      <sz val="12"/>
      <color indexed="18"/>
      <name val="Aptos Narrow"/>
      <family val="2"/>
      <scheme val="minor"/>
    </font>
    <font>
      <sz val="11"/>
      <color indexed="9"/>
      <name val="Aptos Narrow"/>
      <family val="2"/>
      <scheme val="minor"/>
    </font>
    <font>
      <sz val="8"/>
      <color theme="1"/>
      <name val="Aptos Narrow"/>
      <scheme val="minor"/>
    </font>
  </fonts>
  <fills count="9">
    <fill>
      <patternFill patternType="none"/>
    </fill>
    <fill>
      <patternFill patternType="gray125"/>
    </fill>
    <fill>
      <patternFill patternType="solid">
        <fgColor theme="5" tint="0.59999389629810485"/>
        <bgColor indexed="64"/>
      </patternFill>
    </fill>
    <fill>
      <patternFill patternType="solid">
        <fgColor theme="6" tint="0.79998168889431442"/>
        <bgColor indexed="64"/>
      </patternFill>
    </fill>
    <fill>
      <patternFill patternType="solid">
        <fgColor theme="4" tint="0.59999389629810485"/>
        <bgColor indexed="64"/>
      </patternFill>
    </fill>
    <fill>
      <patternFill patternType="solid">
        <fgColor theme="6" tint="0.39997558519241921"/>
        <bgColor indexed="64"/>
      </patternFill>
    </fill>
    <fill>
      <patternFill patternType="solid">
        <fgColor indexed="20"/>
        <bgColor indexed="24"/>
      </patternFill>
    </fill>
    <fill>
      <patternFill patternType="solid">
        <fgColor indexed="22"/>
        <bgColor indexed="24"/>
      </patternFill>
    </fill>
    <fill>
      <patternFill patternType="solid">
        <fgColor indexed="2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top/>
      <bottom style="thick">
        <color theme="1"/>
      </bottom>
      <diagonal/>
    </border>
    <border>
      <left style="thick">
        <color theme="1"/>
      </left>
      <right/>
      <top style="thick">
        <color theme="1"/>
      </top>
      <bottom/>
      <diagonal/>
    </border>
    <border>
      <left/>
      <right/>
      <top style="thick">
        <color theme="1"/>
      </top>
      <bottom/>
      <diagonal/>
    </border>
    <border>
      <left/>
      <right style="thick">
        <color theme="1"/>
      </right>
      <top style="thick">
        <color theme="1"/>
      </top>
      <bottom/>
      <diagonal/>
    </border>
    <border>
      <left style="thick">
        <color theme="1"/>
      </left>
      <right/>
      <top/>
      <bottom/>
      <diagonal/>
    </border>
    <border>
      <left/>
      <right style="thick">
        <color theme="1"/>
      </right>
      <top/>
      <bottom/>
      <diagonal/>
    </border>
    <border>
      <left style="thick">
        <color theme="1"/>
      </left>
      <right/>
      <top/>
      <bottom style="thick">
        <color theme="1"/>
      </bottom>
      <diagonal/>
    </border>
    <border>
      <left/>
      <right style="thick">
        <color theme="1"/>
      </right>
      <top/>
      <bottom style="thick">
        <color theme="1"/>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right style="thin">
        <color indexed="64"/>
      </right>
      <top style="thin">
        <color indexed="64"/>
      </top>
      <bottom style="thin">
        <color indexed="64"/>
      </bottom>
      <diagonal/>
    </border>
    <border>
      <left/>
      <right/>
      <top style="medium">
        <color indexed="64"/>
      </top>
      <bottom/>
      <diagonal/>
    </border>
    <border>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s>
  <cellStyleXfs count="2">
    <xf numFmtId="0" fontId="0" fillId="0" borderId="0"/>
    <xf numFmtId="9" fontId="3" fillId="0" borderId="0" applyFont="0" applyFill="0" applyBorder="0" applyAlignment="0" applyProtection="0"/>
  </cellStyleXfs>
  <cellXfs count="56">
    <xf numFmtId="0" fontId="0" fillId="0" borderId="0" xfId="0"/>
    <xf numFmtId="0" fontId="1" fillId="0" borderId="0" xfId="0" applyFont="1" applyAlignment="1">
      <alignment vertical="center"/>
    </xf>
    <xf numFmtId="0" fontId="2" fillId="0" borderId="0" xfId="0" applyFont="1" applyAlignment="1">
      <alignment horizontal="center" vertical="center"/>
    </xf>
    <xf numFmtId="14" fontId="2" fillId="0" borderId="0" xfId="0" applyNumberFormat="1" applyFont="1" applyAlignment="1">
      <alignment horizontal="center" vertical="center"/>
    </xf>
    <xf numFmtId="0" fontId="1" fillId="2" borderId="1" xfId="0" applyFont="1" applyFill="1" applyBorder="1" applyAlignment="1">
      <alignment horizontal="center" vertical="center"/>
    </xf>
    <xf numFmtId="0" fontId="1" fillId="3" borderId="1" xfId="0" applyFont="1" applyFill="1" applyBorder="1" applyAlignment="1">
      <alignment vertical="center"/>
    </xf>
    <xf numFmtId="0" fontId="0" fillId="0" borderId="0" xfId="0" pivotButton="1"/>
    <xf numFmtId="0" fontId="0" fillId="0" borderId="0" xfId="0" applyAlignment="1">
      <alignment horizontal="left"/>
    </xf>
    <xf numFmtId="44" fontId="0" fillId="0" borderId="0" xfId="0" applyNumberFormat="1"/>
    <xf numFmtId="0" fontId="1" fillId="4" borderId="1" xfId="0" applyFont="1" applyFill="1" applyBorder="1" applyAlignment="1">
      <alignment vertical="center"/>
    </xf>
    <xf numFmtId="0" fontId="1" fillId="4" borderId="1" xfId="0" applyFont="1" applyFill="1" applyBorder="1" applyAlignment="1">
      <alignment horizontal="center" vertical="center"/>
    </xf>
    <xf numFmtId="0" fontId="1" fillId="3" borderId="1" xfId="0" applyFont="1" applyFill="1" applyBorder="1" applyAlignment="1">
      <alignment horizontal="center" vertical="center"/>
    </xf>
    <xf numFmtId="0" fontId="0" fillId="0" borderId="0" xfId="0" applyAlignment="1">
      <alignment wrapText="1"/>
    </xf>
    <xf numFmtId="0" fontId="0" fillId="0" borderId="0" xfId="0" applyAlignment="1">
      <alignment horizontal="center" wrapText="1"/>
    </xf>
    <xf numFmtId="0" fontId="4" fillId="0" borderId="0" xfId="0" applyFont="1"/>
    <xf numFmtId="0" fontId="1" fillId="0" borderId="0" xfId="0" pivotButton="1" applyFont="1"/>
    <xf numFmtId="0" fontId="1" fillId="0" borderId="0" xfId="0" applyFont="1"/>
    <xf numFmtId="0" fontId="1" fillId="0" borderId="0" xfId="0" applyFont="1" applyAlignment="1">
      <alignment horizontal="left"/>
    </xf>
    <xf numFmtId="44" fontId="1" fillId="0" borderId="0" xfId="0" applyNumberFormat="1" applyFont="1"/>
    <xf numFmtId="10" fontId="1" fillId="0" borderId="0" xfId="0" applyNumberFormat="1" applyFont="1"/>
    <xf numFmtId="0" fontId="2" fillId="0" borderId="1" xfId="0" applyFont="1" applyBorder="1" applyAlignment="1">
      <alignment horizontal="center" vertical="center"/>
    </xf>
    <xf numFmtId="0" fontId="1" fillId="0" borderId="1" xfId="0" applyFont="1" applyBorder="1" applyAlignment="1">
      <alignment vertical="center"/>
    </xf>
    <xf numFmtId="0" fontId="2" fillId="0" borderId="18" xfId="0" applyFont="1" applyBorder="1" applyAlignment="1">
      <alignment horizontal="center" vertical="center"/>
    </xf>
    <xf numFmtId="0" fontId="4" fillId="5" borderId="0" xfId="0" applyFont="1" applyFill="1" applyAlignment="1">
      <alignment horizontal="center" vertical="center"/>
    </xf>
    <xf numFmtId="0" fontId="4" fillId="5" borderId="0" xfId="0" applyFont="1" applyFill="1" applyAlignment="1">
      <alignment horizontal="center"/>
    </xf>
    <xf numFmtId="0" fontId="7" fillId="6" borderId="20" xfId="0" applyFont="1" applyFill="1" applyBorder="1" applyAlignment="1">
      <alignment horizontal="left"/>
    </xf>
    <xf numFmtId="0" fontId="7" fillId="6" borderId="19" xfId="0" applyFont="1" applyFill="1" applyBorder="1" applyAlignment="1">
      <alignment horizontal="left"/>
    </xf>
    <xf numFmtId="0" fontId="0" fillId="0" borderId="21" xfId="0" applyBorder="1"/>
    <xf numFmtId="0" fontId="8" fillId="7" borderId="0" xfId="0" applyFont="1" applyFill="1" applyAlignment="1">
      <alignment horizontal="left"/>
    </xf>
    <xf numFmtId="0" fontId="9" fillId="7" borderId="21" xfId="0" applyFont="1" applyFill="1" applyBorder="1" applyAlignment="1">
      <alignment horizontal="left"/>
    </xf>
    <xf numFmtId="0" fontId="10" fillId="6" borderId="19" xfId="0" applyFont="1" applyFill="1" applyBorder="1" applyAlignment="1">
      <alignment horizontal="right"/>
    </xf>
    <xf numFmtId="0" fontId="10" fillId="6" borderId="20" xfId="0" applyFont="1" applyFill="1" applyBorder="1" applyAlignment="1">
      <alignment horizontal="right"/>
    </xf>
    <xf numFmtId="0" fontId="9" fillId="7" borderId="22" xfId="0" applyFont="1" applyFill="1" applyBorder="1" applyAlignment="1">
      <alignment horizontal="left"/>
    </xf>
    <xf numFmtId="0" fontId="0" fillId="0" borderId="22" xfId="0" applyBorder="1"/>
    <xf numFmtId="0" fontId="0" fillId="8" borderId="0" xfId="0" applyFill="1"/>
    <xf numFmtId="0" fontId="11" fillId="0" borderId="0" xfId="0" applyFont="1" applyAlignment="1">
      <alignment vertical="top" wrapText="1"/>
    </xf>
    <xf numFmtId="44" fontId="0" fillId="8" borderId="0" xfId="0" applyNumberFormat="1" applyFill="1"/>
    <xf numFmtId="0" fontId="5" fillId="0" borderId="3" xfId="0" applyFont="1" applyBorder="1" applyAlignment="1">
      <alignment horizontal="center" wrapText="1"/>
    </xf>
    <xf numFmtId="0" fontId="5" fillId="0" borderId="4" xfId="0" applyFont="1" applyBorder="1" applyAlignment="1">
      <alignment horizontal="center" wrapText="1"/>
    </xf>
    <xf numFmtId="0" fontId="5" fillId="0" borderId="5" xfId="0" applyFont="1" applyBorder="1" applyAlignment="1">
      <alignment horizontal="center" wrapText="1"/>
    </xf>
    <xf numFmtId="0" fontId="5" fillId="0" borderId="6" xfId="0" applyFont="1" applyBorder="1" applyAlignment="1">
      <alignment horizontal="center" wrapText="1"/>
    </xf>
    <xf numFmtId="0" fontId="5" fillId="0" borderId="0" xfId="0" applyFont="1" applyAlignment="1">
      <alignment horizontal="center" wrapText="1"/>
    </xf>
    <xf numFmtId="0" fontId="5" fillId="0" borderId="7" xfId="0" applyFont="1" applyBorder="1" applyAlignment="1">
      <alignment horizontal="center" wrapText="1"/>
    </xf>
    <xf numFmtId="0" fontId="5" fillId="0" borderId="8" xfId="0" applyFont="1" applyBorder="1" applyAlignment="1">
      <alignment horizontal="center" wrapText="1"/>
    </xf>
    <xf numFmtId="0" fontId="5" fillId="0" borderId="2" xfId="0" applyFont="1" applyBorder="1" applyAlignment="1">
      <alignment horizontal="center" wrapText="1"/>
    </xf>
    <xf numFmtId="0" fontId="5" fillId="0" borderId="9" xfId="0" applyFont="1" applyBorder="1" applyAlignment="1">
      <alignment horizontal="center" wrapText="1"/>
    </xf>
    <xf numFmtId="10" fontId="6" fillId="0" borderId="10" xfId="1" applyNumberFormat="1" applyFont="1" applyBorder="1" applyAlignment="1">
      <alignment horizontal="center" wrapText="1"/>
    </xf>
    <xf numFmtId="10" fontId="6" fillId="0" borderId="11" xfId="1" applyNumberFormat="1" applyFont="1" applyBorder="1" applyAlignment="1">
      <alignment horizontal="center" wrapText="1"/>
    </xf>
    <xf numFmtId="10" fontId="6" fillId="0" borderId="12" xfId="1" applyNumberFormat="1" applyFont="1" applyBorder="1" applyAlignment="1">
      <alignment horizontal="center" wrapText="1"/>
    </xf>
    <xf numFmtId="10" fontId="6" fillId="0" borderId="13" xfId="1" applyNumberFormat="1" applyFont="1" applyBorder="1" applyAlignment="1">
      <alignment horizontal="center" wrapText="1"/>
    </xf>
    <xf numFmtId="10" fontId="6" fillId="0" borderId="0" xfId="1" applyNumberFormat="1" applyFont="1" applyBorder="1" applyAlignment="1">
      <alignment horizontal="center" wrapText="1"/>
    </xf>
    <xf numFmtId="10" fontId="6" fillId="0" borderId="14" xfId="1" applyNumberFormat="1" applyFont="1" applyBorder="1" applyAlignment="1">
      <alignment horizontal="center" wrapText="1"/>
    </xf>
    <xf numFmtId="10" fontId="6" fillId="0" borderId="15" xfId="1" applyNumberFormat="1" applyFont="1" applyBorder="1" applyAlignment="1">
      <alignment horizontal="center" wrapText="1"/>
    </xf>
    <xf numFmtId="10" fontId="6" fillId="0" borderId="16" xfId="1" applyNumberFormat="1" applyFont="1" applyBorder="1" applyAlignment="1">
      <alignment horizontal="center" wrapText="1"/>
    </xf>
    <xf numFmtId="10" fontId="6" fillId="0" borderId="17" xfId="1" applyNumberFormat="1" applyFont="1" applyBorder="1" applyAlignment="1">
      <alignment horizontal="center" wrapText="1"/>
    </xf>
    <xf numFmtId="0" fontId="1" fillId="5" borderId="1" xfId="0" applyFont="1" applyFill="1" applyBorder="1" applyAlignment="1">
      <alignment horizontal="center" vertical="center"/>
    </xf>
  </cellXfs>
  <cellStyles count="2">
    <cellStyle name="Normal" xfId="0" builtinId="0"/>
    <cellStyle name="Percent" xfId="1" builtinId="5"/>
  </cellStyles>
  <dxfs count="33">
    <dxf>
      <font>
        <color rgb="FF9C0006"/>
      </font>
      <fill>
        <patternFill>
          <bgColor rgb="FFFFC7CE"/>
        </patternFill>
      </fill>
    </dxf>
    <dxf>
      <font>
        <color rgb="FF006100"/>
      </font>
      <fill>
        <patternFill>
          <bgColor rgb="FFC6EFCE"/>
        </patternFill>
      </fill>
    </dxf>
    <dxf>
      <fill>
        <patternFill>
          <bgColor rgb="FFFF0000"/>
        </patternFill>
      </fill>
    </dxf>
    <dxf>
      <fill>
        <patternFill>
          <bgColor theme="6" tint="0.39994506668294322"/>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0000"/>
        </patternFill>
      </fill>
    </dxf>
    <dxf>
      <fill>
        <patternFill>
          <bgColor rgb="FFFFFF00"/>
        </patternFill>
      </fill>
    </dxf>
    <dxf>
      <fill>
        <patternFill>
          <bgColor theme="6" tint="0.39994506668294322"/>
        </patternFill>
      </fill>
    </dxf>
    <dxf>
      <font>
        <b/>
      </font>
    </dxf>
    <dxf>
      <font>
        <b/>
      </font>
    </dxf>
    <dxf>
      <font>
        <b/>
      </font>
    </dxf>
    <dxf>
      <font>
        <b/>
      </font>
    </dxf>
    <dxf>
      <font>
        <b/>
      </font>
    </dxf>
    <dxf>
      <font>
        <b/>
      </font>
    </dxf>
    <dxf>
      <numFmt numFmtId="34" formatCode="_(&quot;$&quot;* #,##0.00_);_(&quot;$&quot;* \(#,##0.00\);_(&quot;$&quot;* &quot;-&quot;??_);_(@_)"/>
    </dxf>
    <dxf>
      <numFmt numFmtId="34" formatCode="_(&quot;$&quot;* #,##0.00_);_(&quot;$&quot;* \(#,##0.00\);_(&quot;$&quot;* &quot;-&quot;??_);_(@_)"/>
    </dxf>
    <dxf>
      <font>
        <b/>
      </font>
    </dxf>
    <dxf>
      <font>
        <b/>
      </font>
    </dxf>
    <dxf>
      <font>
        <b/>
      </font>
    </dxf>
    <dxf>
      <font>
        <b/>
      </font>
    </dxf>
    <dxf>
      <font>
        <b/>
      </font>
    </dxf>
    <dxf>
      <font>
        <b/>
      </font>
    </dxf>
    <dxf>
      <font>
        <b/>
      </font>
    </dxf>
    <dxf>
      <font>
        <b/>
      </font>
    </dxf>
    <dxf>
      <font>
        <b/>
      </font>
    </dxf>
    <dxf>
      <font>
        <b/>
      </font>
    </dxf>
    <dxf>
      <font>
        <b/>
      </font>
    </dxf>
    <dxf>
      <font>
        <b/>
      </font>
    </dxf>
    <dxf>
      <numFmt numFmtId="34" formatCode="_(&quot;$&quot;* #,##0.00_);_(&quot;$&quot;* \(#,##0.00\);_(&quot;$&quot;* &quot;-&quot;??_);_(@_)"/>
    </dxf>
    <dxf>
      <numFmt numFmtId="34" formatCode="_(&quot;$&quot;* #,##0.00_);_(&quot;$&quot;* \(#,##0.00\);_(&quot;$&quot;* &quot;-&quot;??_);_(@_)"/>
    </dxf>
  </dxfs>
  <tableStyles count="0" defaultTableStyle="TableStyleMedium2" defaultPivotStyle="PivotStyleLight16"/>
  <colors>
    <mruColors>
      <color rgb="FFD8C16F"/>
      <color rgb="FFFC434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[JenishPatel_ExcelDashboard.xlsx]PIVOT TABLE!Monthly Sale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Monthly</a:t>
            </a:r>
            <a:r>
              <a:rPr lang="en-US" sz="1800" b="1" baseline="0"/>
              <a:t> Sale $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rgbClr val="FF0000"/>
            </a:solidFill>
            <a:ln w="9525">
              <a:solidFill>
                <a:schemeClr val="accent1"/>
              </a:solidFill>
            </a:ln>
            <a:effectLst/>
          </c:spPr>
        </c:marker>
        <c:dLbl>
          <c:idx val="0"/>
          <c:layout>
            <c:manualLayout>
              <c:x val="-0.23913286155686236"/>
              <c:y val="-1.7675276752767529E-2"/>
            </c:manualLayout>
          </c:layout>
          <c:spPr>
            <a:solidFill>
              <a:schemeClr val="tx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2000" b="1" i="0" u="none" strike="noStrike" kern="1200" baseline="0">
                  <a:solidFill>
                    <a:schemeClr val="bg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1873417721518987"/>
                  <c:h val="7.9704797047970483E-2"/>
                </c:manualLayout>
              </c15:layout>
            </c:ext>
          </c:extLst>
        </c:dLbl>
      </c:pivotFmt>
      <c:pivotFmt>
        <c:idx val="4"/>
        <c:spPr>
          <a:ln w="28575" cap="rnd">
            <a:solidFill>
              <a:schemeClr val="accent1"/>
            </a:solidFill>
            <a:round/>
          </a:ln>
          <a:effectLst/>
        </c:spPr>
        <c:marker>
          <c:symbol val="circle"/>
          <c:size val="5"/>
          <c:spPr>
            <a:solidFill>
              <a:srgbClr val="FF0000"/>
            </a:solidFill>
            <a:ln w="9525">
              <a:solidFill>
                <a:schemeClr val="accent1"/>
              </a:solidFill>
            </a:ln>
            <a:effectLst/>
          </c:spPr>
        </c:marker>
        <c:dLbl>
          <c:idx val="0"/>
          <c:spPr>
            <a:solidFill>
              <a:schemeClr val="tx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2000" b="1" i="0" u="none" strike="noStrike" kern="1200" baseline="0">
                  <a:solidFill>
                    <a:schemeClr val="bg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3696202531645569"/>
                  <c:h val="7.9704797047970483E-2"/>
                </c:manualLayout>
              </c15:layout>
            </c:ext>
          </c:extLst>
        </c:dLbl>
      </c:pivotFmt>
    </c:pivotFmts>
    <c:plotArea>
      <c:layout>
        <c:manualLayout>
          <c:layoutTarget val="inner"/>
          <c:xMode val="edge"/>
          <c:yMode val="edge"/>
          <c:x val="2.2784810126582278E-2"/>
          <c:y val="0.15326582793386989"/>
          <c:w val="0.94430379746835447"/>
          <c:h val="0.73472905831420521"/>
        </c:manualLayout>
      </c:layout>
      <c:lineChart>
        <c:grouping val="stacked"/>
        <c:varyColors val="0"/>
        <c:ser>
          <c:idx val="0"/>
          <c:order val="0"/>
          <c:tx>
            <c:strRef>
              <c:f>'PIVOT TABLE'!$C$5</c:f>
              <c:strCache>
                <c:ptCount val="1"/>
                <c:pt idx="0">
                  <c:v>Total</c:v>
                </c:pt>
              </c:strCache>
            </c:strRef>
          </c:tx>
          <c:spPr>
            <a:ln w="28575" cap="rnd">
              <a:solidFill>
                <a:schemeClr val="accent1"/>
              </a:solidFill>
              <a:round/>
            </a:ln>
            <a:effectLst/>
          </c:spPr>
          <c:marker>
            <c:symbol val="circle"/>
            <c:size val="5"/>
            <c:spPr>
              <a:solidFill>
                <a:srgbClr val="FF0000"/>
              </a:solidFill>
              <a:ln w="9525">
                <a:solidFill>
                  <a:schemeClr val="accent1"/>
                </a:solidFill>
              </a:ln>
              <a:effectLst/>
            </c:spPr>
          </c:marker>
          <c:dPt>
            <c:idx val="0"/>
            <c:marker>
              <c:symbol val="circle"/>
              <c:size val="5"/>
              <c:spPr>
                <a:solidFill>
                  <a:srgbClr val="FF0000"/>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0-F89D-5348-AF36-E4EF08A524FE}"/>
              </c:ext>
            </c:extLst>
          </c:dPt>
          <c:dPt>
            <c:idx val="1"/>
            <c:marker>
              <c:symbol val="circle"/>
              <c:size val="5"/>
              <c:spPr>
                <a:solidFill>
                  <a:srgbClr val="FF0000"/>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F89D-5348-AF36-E4EF08A524FE}"/>
              </c:ext>
            </c:extLst>
          </c:dPt>
          <c:dLbls>
            <c:dLbl>
              <c:idx val="0"/>
              <c:layout>
                <c:manualLayout>
                  <c:x val="-0.23913286155686236"/>
                  <c:y val="-1.7675276752767529E-2"/>
                </c:manualLayout>
              </c:layout>
              <c:spPr>
                <a:solidFill>
                  <a:schemeClr val="tx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2000" b="1" i="0" u="none" strike="noStrike" kern="1200" baseline="0">
                      <a:solidFill>
                        <a:schemeClr val="bg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1873417721518987"/>
                      <c:h val="7.9704797047970483E-2"/>
                    </c:manualLayout>
                  </c15:layout>
                </c:ext>
                <c:ext xmlns:c16="http://schemas.microsoft.com/office/drawing/2014/chart" uri="{C3380CC4-5D6E-409C-BE32-E72D297353CC}">
                  <c16:uniqueId val="{00000000-F89D-5348-AF36-E4EF08A524FE}"/>
                </c:ext>
              </c:extLst>
            </c:dLbl>
            <c:dLbl>
              <c:idx val="1"/>
              <c:spPr>
                <a:solidFill>
                  <a:schemeClr val="tx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2000" b="1" i="0" u="none" strike="noStrike" kern="1200" baseline="0">
                      <a:solidFill>
                        <a:schemeClr val="bg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3696202531645569"/>
                      <c:h val="7.9704797047970483E-2"/>
                    </c:manualLayout>
                  </c15:layout>
                </c:ext>
                <c:ext xmlns:c16="http://schemas.microsoft.com/office/drawing/2014/chart" uri="{C3380CC4-5D6E-409C-BE32-E72D297353CC}">
                  <c16:uniqueId val="{00000001-F89D-5348-AF36-E4EF08A524FE}"/>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TABLE'!$B$6:$B$8</c:f>
              <c:strCache>
                <c:ptCount val="2"/>
                <c:pt idx="0">
                  <c:v>2024</c:v>
                </c:pt>
                <c:pt idx="1">
                  <c:v>2023</c:v>
                </c:pt>
              </c:strCache>
            </c:strRef>
          </c:cat>
          <c:val>
            <c:numRef>
              <c:f>'PIVOT TABLE'!$C$6:$C$8</c:f>
              <c:numCache>
                <c:formatCode>_("$"* #,##0.00_);_("$"* \(#,##0.00\);_("$"* "-"??_);_(@_)</c:formatCode>
                <c:ptCount val="2"/>
                <c:pt idx="0">
                  <c:v>274582.90000000002</c:v>
                </c:pt>
                <c:pt idx="1">
                  <c:v>108611.60000000003</c:v>
                </c:pt>
              </c:numCache>
            </c:numRef>
          </c:val>
          <c:smooth val="0"/>
          <c:extLst>
            <c:ext xmlns:c16="http://schemas.microsoft.com/office/drawing/2014/chart" uri="{C3380CC4-5D6E-409C-BE32-E72D297353CC}">
              <c16:uniqueId val="{00000000-5385-D542-8981-4A699D9F7498}"/>
            </c:ext>
          </c:extLst>
        </c:ser>
        <c:dLbls>
          <c:showLegendKey val="0"/>
          <c:showVal val="0"/>
          <c:showCatName val="0"/>
          <c:showSerName val="0"/>
          <c:showPercent val="0"/>
          <c:showBubbleSize val="0"/>
        </c:dLbls>
        <c:marker val="1"/>
        <c:smooth val="0"/>
        <c:axId val="31393536"/>
        <c:axId val="31395328"/>
      </c:lineChart>
      <c:catAx>
        <c:axId val="31393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1395328"/>
        <c:crosses val="autoZero"/>
        <c:auto val="1"/>
        <c:lblAlgn val="ctr"/>
        <c:lblOffset val="100"/>
        <c:noMultiLvlLbl val="0"/>
      </c:catAx>
      <c:valAx>
        <c:axId val="31395328"/>
        <c:scaling>
          <c:orientation val="minMax"/>
        </c:scaling>
        <c:delete val="1"/>
        <c:axPos val="l"/>
        <c:numFmt formatCode="_(&quot;$&quot;* #,##0.00_);_(&quot;$&quot;* \(#,##0.00\);_(&quot;$&quot;* &quot;-&quot;??_);_(@_)" sourceLinked="1"/>
        <c:majorTickMark val="none"/>
        <c:minorTickMark val="none"/>
        <c:tickLblPos val="nextTo"/>
        <c:crossAx val="31393536"/>
        <c:crosses val="autoZero"/>
        <c:crossBetween val="between"/>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[JenishPatel_ExcelDashboard.xlsx]PIVOT TABLE!Order Status</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Order Status 📊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60000"/>
              <a:lumOff val="40000"/>
            </a:schemeClr>
          </a:solidFill>
          <a:ln w="9525" cap="flat" cmpd="sng" algn="ctr">
            <a:solidFill>
              <a:schemeClr val="lt1">
                <a:alpha val="50000"/>
              </a:schemeClr>
            </a:solidFill>
            <a:round/>
          </a:ln>
          <a:effectLst/>
        </c:spPr>
      </c:pivotFmt>
      <c:pivotFmt>
        <c:idx val="4"/>
        <c:spPr>
          <a:solidFill>
            <a:schemeClr val="accent4">
              <a:lumMod val="60000"/>
              <a:lumOff val="40000"/>
            </a:schemeClr>
          </a:solidFill>
          <a:ln w="9525" cap="flat" cmpd="sng" algn="ctr">
            <a:solidFill>
              <a:schemeClr val="lt1">
                <a:alpha val="50000"/>
              </a:schemeClr>
            </a:solidFill>
            <a:round/>
          </a:ln>
          <a:effectLst/>
        </c:spPr>
      </c:pivotFmt>
    </c:pivotFmts>
    <c:plotArea>
      <c:layout/>
      <c:barChart>
        <c:barDir val="bar"/>
        <c:grouping val="clustered"/>
        <c:varyColors val="0"/>
        <c:ser>
          <c:idx val="0"/>
          <c:order val="0"/>
          <c:tx>
            <c:strRef>
              <c:f>'PIVOT TABLE'!$F$5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4">
                  <a:lumMod val="60000"/>
                  <a:lumOff val="40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1-AF97-E741-A0C7-B66806429ECC}"/>
              </c:ext>
            </c:extLst>
          </c:dPt>
          <c:dPt>
            <c:idx val="1"/>
            <c:invertIfNegative val="0"/>
            <c:bubble3D val="0"/>
            <c:spPr>
              <a:solidFill>
                <a:schemeClr val="accent3">
                  <a:lumMod val="60000"/>
                  <a:lumOff val="40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0-AF97-E741-A0C7-B66806429ECC}"/>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TABLE'!$E$6:$E$8</c:f>
              <c:strCache>
                <c:ptCount val="2"/>
                <c:pt idx="0">
                  <c:v>Completed</c:v>
                </c:pt>
                <c:pt idx="1">
                  <c:v>Cancelled</c:v>
                </c:pt>
              </c:strCache>
            </c:strRef>
          </c:cat>
          <c:val>
            <c:numRef>
              <c:f>'PIVOT TABLE'!$F$6:$F$8</c:f>
              <c:numCache>
                <c:formatCode>_("$"* #,##0.00_);_("$"* \(#,##0.00\);_("$"* "-"??_);_(@_)</c:formatCode>
                <c:ptCount val="2"/>
                <c:pt idx="0">
                  <c:v>8391</c:v>
                </c:pt>
                <c:pt idx="1">
                  <c:v>2812</c:v>
                </c:pt>
              </c:numCache>
            </c:numRef>
          </c:val>
          <c:extLst>
            <c:ext xmlns:c16="http://schemas.microsoft.com/office/drawing/2014/chart" uri="{C3380CC4-5D6E-409C-BE32-E72D297353CC}">
              <c16:uniqueId val="{00000000-FCC3-E744-9DEC-633C8754EC2D}"/>
            </c:ext>
          </c:extLst>
        </c:ser>
        <c:dLbls>
          <c:dLblPos val="inEnd"/>
          <c:showLegendKey val="0"/>
          <c:showVal val="1"/>
          <c:showCatName val="0"/>
          <c:showSerName val="0"/>
          <c:showPercent val="0"/>
          <c:showBubbleSize val="0"/>
        </c:dLbls>
        <c:gapWidth val="65"/>
        <c:axId val="10261760"/>
        <c:axId val="10263552"/>
      </c:barChart>
      <c:catAx>
        <c:axId val="1026176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0263552"/>
        <c:crosses val="autoZero"/>
        <c:auto val="1"/>
        <c:lblAlgn val="ctr"/>
        <c:lblOffset val="100"/>
        <c:noMultiLvlLbl val="0"/>
      </c:catAx>
      <c:valAx>
        <c:axId val="10263552"/>
        <c:scaling>
          <c:orientation val="minMax"/>
        </c:scaling>
        <c:delete val="1"/>
        <c:axPos val="b"/>
        <c:numFmt formatCode="_(&quot;$&quot;* #,##0.00_);_(&quot;$&quot;* \(#,##0.00\);_(&quot;$&quot;* &quot;-&quot;??_);_(@_)" sourceLinked="1"/>
        <c:majorTickMark val="none"/>
        <c:minorTickMark val="none"/>
        <c:tickLblPos val="nextTo"/>
        <c:crossAx val="10261760"/>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[JenishPatel_ExcelDashboard.xlsx]PIVOT TABLE!Payment Method</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Payment Method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TABLE'!$I$5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B3A-4649-B6AB-15F5A85CAA2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B3A-4649-B6AB-15F5A85CAA2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B3A-4649-B6AB-15F5A85CAA2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B3A-4649-B6AB-15F5A85CAA2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TABLE'!$H$6:$H$10</c:f>
              <c:strCache>
                <c:ptCount val="4"/>
                <c:pt idx="0">
                  <c:v>Debit Card</c:v>
                </c:pt>
                <c:pt idx="1">
                  <c:v>Paypal</c:v>
                </c:pt>
                <c:pt idx="2">
                  <c:v>Credit Card</c:v>
                </c:pt>
                <c:pt idx="3">
                  <c:v>Cash</c:v>
                </c:pt>
              </c:strCache>
            </c:strRef>
          </c:cat>
          <c:val>
            <c:numRef>
              <c:f>'PIVOT TABLE'!$I$6:$I$10</c:f>
              <c:numCache>
                <c:formatCode>0.00%</c:formatCode>
                <c:ptCount val="4"/>
                <c:pt idx="0">
                  <c:v>0.32073834567041015</c:v>
                </c:pt>
                <c:pt idx="1">
                  <c:v>0.28002515693727337</c:v>
                </c:pt>
                <c:pt idx="2">
                  <c:v>0.21333570810645763</c:v>
                </c:pt>
                <c:pt idx="3">
                  <c:v>0.18590078928585876</c:v>
                </c:pt>
              </c:numCache>
            </c:numRef>
          </c:val>
          <c:extLst>
            <c:ext xmlns:c16="http://schemas.microsoft.com/office/drawing/2014/chart" uri="{C3380CC4-5D6E-409C-BE32-E72D297353CC}">
              <c16:uniqueId val="{00000008-4B3A-4649-B6AB-15F5A85CAA27}"/>
            </c:ext>
          </c:extLst>
        </c:ser>
        <c:dLbls>
          <c:showLegendKey val="0"/>
          <c:showVal val="0"/>
          <c:showCatName val="1"/>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16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[JenishPatel_ExcelDashboard.xlsx]PIVOT TABLE!Prdouct by Revenue</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a:noFill/>
          </a:ln>
          <a:effectLst>
            <a:outerShdw blurRad="76200" dir="18900000" sy="23000" kx="-1200000" algn="bl" rotWithShape="0">
              <a:prstClr val="black">
                <a:alpha val="20000"/>
              </a:prstClr>
            </a:outerShdw>
          </a:effectLst>
        </c:spPr>
      </c:pivotFmt>
      <c:pivotFmt>
        <c:idx val="4"/>
        <c:spPr>
          <a:solidFill>
            <a:schemeClr val="tx2">
              <a:lumMod val="50000"/>
              <a:lumOff val="50000"/>
            </a:schemeClr>
          </a:solidFill>
          <a:ln>
            <a:noFill/>
          </a:ln>
          <a:effectLst>
            <a:outerShdw blurRad="76200" dir="18900000" sy="23000" kx="-1200000" algn="bl" rotWithShape="0">
              <a:prstClr val="black">
                <a:alpha val="20000"/>
              </a:prstClr>
            </a:outerShdw>
          </a:effectLst>
        </c:spPr>
      </c:pivotFmt>
      <c:pivotFmt>
        <c:idx val="5"/>
        <c:spPr>
          <a:solidFill>
            <a:srgbClr val="D8C16F"/>
          </a:solidFill>
          <a:ln>
            <a:noFill/>
          </a:ln>
          <a:effectLst>
            <a:outerShdw blurRad="76200" dir="18900000" sy="23000" kx="-1200000" algn="bl" rotWithShape="0">
              <a:prstClr val="black">
                <a:alpha val="20000"/>
              </a:prstClr>
            </a:outerShdw>
          </a:effectLst>
        </c:spPr>
      </c:pivotFmt>
      <c:pivotFmt>
        <c:idx val="6"/>
        <c:spPr>
          <a:solidFill>
            <a:schemeClr val="accent5">
              <a:lumMod val="60000"/>
              <a:lumOff val="40000"/>
            </a:schemeClr>
          </a:solidFill>
          <a:ln>
            <a:noFill/>
          </a:ln>
          <a:effectLst>
            <a:outerShdw blurRad="76200" dir="18900000" sy="23000" kx="-1200000" algn="bl" rotWithShape="0">
              <a:prstClr val="black">
                <a:alpha val="20000"/>
              </a:prstClr>
            </a:outerShdw>
          </a:effectLst>
        </c:spPr>
      </c:pivotFmt>
    </c:pivotFmts>
    <c:plotArea>
      <c:layout/>
      <c:barChart>
        <c:barDir val="col"/>
        <c:grouping val="clustered"/>
        <c:varyColors val="0"/>
        <c:ser>
          <c:idx val="0"/>
          <c:order val="0"/>
          <c:tx>
            <c:strRef>
              <c:f>'PIVOT TABLE'!$L$5</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Pt>
            <c:idx val="0"/>
            <c:invertIfNegative val="0"/>
            <c:bubble3D val="0"/>
            <c:spPr>
              <a:solidFill>
                <a:schemeClr val="accent5">
                  <a:lumMod val="60000"/>
                  <a:lumOff val="40000"/>
                </a:schemeClr>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6-AC13-CD4D-9C5B-EF7C0FEC5AE5}"/>
              </c:ext>
            </c:extLst>
          </c:dPt>
          <c:dPt>
            <c:idx val="1"/>
            <c:invertIfNegative val="0"/>
            <c:bubble3D val="0"/>
            <c:spPr>
              <a:solidFill>
                <a:schemeClr val="accent2">
                  <a:lumMod val="60000"/>
                  <a:lumOff val="40000"/>
                </a:schemeClr>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0-A252-074F-B23A-FCC08304E69E}"/>
              </c:ext>
            </c:extLst>
          </c:dPt>
          <c:dPt>
            <c:idx val="2"/>
            <c:invertIfNegative val="0"/>
            <c:bubble3D val="0"/>
            <c:spPr>
              <a:solidFill>
                <a:schemeClr val="tx2">
                  <a:lumMod val="50000"/>
                  <a:lumOff val="50000"/>
                </a:schemeClr>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1-A252-074F-B23A-FCC08304E69E}"/>
              </c:ext>
            </c:extLst>
          </c:dPt>
          <c:dPt>
            <c:idx val="3"/>
            <c:invertIfNegative val="0"/>
            <c:bubble3D val="0"/>
            <c:spPr>
              <a:solidFill>
                <a:srgbClr val="D8C16F"/>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2-A252-074F-B23A-FCC08304E69E}"/>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TABLE'!$K$6:$K$10</c:f>
              <c:strCache>
                <c:ptCount val="4"/>
                <c:pt idx="0">
                  <c:v>Smartphone</c:v>
                </c:pt>
                <c:pt idx="1">
                  <c:v>Smartwatch</c:v>
                </c:pt>
                <c:pt idx="2">
                  <c:v>Laptop</c:v>
                </c:pt>
                <c:pt idx="3">
                  <c:v>Tablet</c:v>
                </c:pt>
              </c:strCache>
            </c:strRef>
          </c:cat>
          <c:val>
            <c:numRef>
              <c:f>'PIVOT TABLE'!$L$6:$L$10</c:f>
              <c:numCache>
                <c:formatCode>_("$"* #,##0.00_);_("$"* \(#,##0.00\);_("$"* "-"??_);_(@_)</c:formatCode>
                <c:ptCount val="4"/>
                <c:pt idx="0">
                  <c:v>152561.72000000003</c:v>
                </c:pt>
                <c:pt idx="1">
                  <c:v>127569.33000000003</c:v>
                </c:pt>
                <c:pt idx="2">
                  <c:v>67738.159999999989</c:v>
                </c:pt>
                <c:pt idx="3">
                  <c:v>35325.29</c:v>
                </c:pt>
              </c:numCache>
            </c:numRef>
          </c:val>
          <c:extLst>
            <c:ext xmlns:c16="http://schemas.microsoft.com/office/drawing/2014/chart" uri="{C3380CC4-5D6E-409C-BE32-E72D297353CC}">
              <c16:uniqueId val="{00000000-AE1A-144E-82E8-161DB3B3CBBD}"/>
            </c:ext>
          </c:extLst>
        </c:ser>
        <c:dLbls>
          <c:showLegendKey val="0"/>
          <c:showVal val="1"/>
          <c:showCatName val="0"/>
          <c:showSerName val="0"/>
          <c:showPercent val="0"/>
          <c:showBubbleSize val="0"/>
        </c:dLbls>
        <c:gapWidth val="75"/>
        <c:axId val="1339819775"/>
        <c:axId val="1339820671"/>
      </c:barChart>
      <c:catAx>
        <c:axId val="13398197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dk1">
                    <a:lumMod val="65000"/>
                    <a:lumOff val="35000"/>
                  </a:schemeClr>
                </a:solidFill>
                <a:effectLst/>
                <a:latin typeface="+mn-lt"/>
                <a:ea typeface="+mn-ea"/>
                <a:cs typeface="+mn-cs"/>
              </a:defRPr>
            </a:pPr>
            <a:endParaRPr lang="en-US"/>
          </a:p>
        </c:txPr>
        <c:crossAx val="1339820671"/>
        <c:crosses val="autoZero"/>
        <c:auto val="1"/>
        <c:lblAlgn val="ctr"/>
        <c:lblOffset val="100"/>
        <c:noMultiLvlLbl val="0"/>
      </c:catAx>
      <c:valAx>
        <c:axId val="1339820671"/>
        <c:scaling>
          <c:orientation val="minMax"/>
        </c:scaling>
        <c:delete val="1"/>
        <c:axPos val="l"/>
        <c:numFmt formatCode="_(&quot;$&quot;* #,##0.00_);_(&quot;$&quot;* \(#,##0.00\);_(&quot;$&quot;* &quot;-&quot;??_);_(@_)" sourceLinked="1"/>
        <c:majorTickMark val="none"/>
        <c:minorTickMark val="none"/>
        <c:tickLblPos val="nextTo"/>
        <c:crossAx val="1339819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538136</xdr:colOff>
      <xdr:row>32</xdr:row>
      <xdr:rowOff>98800</xdr:rowOff>
    </xdr:from>
    <xdr:to>
      <xdr:col>10</xdr:col>
      <xdr:colOff>408983</xdr:colOff>
      <xdr:row>59</xdr:row>
      <xdr:rowOff>172203</xdr:rowOff>
    </xdr:to>
    <xdr:graphicFrame macro="">
      <xdr:nvGraphicFramePr>
        <xdr:cNvPr id="2" name="Chart 1">
          <a:extLst>
            <a:ext uri="{FF2B5EF4-FFF2-40B4-BE49-F238E27FC236}">
              <a16:creationId xmlns:a16="http://schemas.microsoft.com/office/drawing/2014/main" id="{EFCA47A6-B5B3-F042-B317-0B377AB2EA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621009</xdr:colOff>
      <xdr:row>40</xdr:row>
      <xdr:rowOff>25400</xdr:rowOff>
    </xdr:from>
    <xdr:to>
      <xdr:col>21</xdr:col>
      <xdr:colOff>387458</xdr:colOff>
      <xdr:row>62</xdr:row>
      <xdr:rowOff>172203</xdr:rowOff>
    </xdr:to>
    <xdr:graphicFrame macro="">
      <xdr:nvGraphicFramePr>
        <xdr:cNvPr id="3" name="Chart 2">
          <a:extLst>
            <a:ext uri="{FF2B5EF4-FFF2-40B4-BE49-F238E27FC236}">
              <a16:creationId xmlns:a16="http://schemas.microsoft.com/office/drawing/2014/main" id="{8C2439D8-F874-9B46-8E7F-AC9860D087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16934</xdr:colOff>
      <xdr:row>60</xdr:row>
      <xdr:rowOff>43048</xdr:rowOff>
    </xdr:from>
    <xdr:to>
      <xdr:col>10</xdr:col>
      <xdr:colOff>538136</xdr:colOff>
      <xdr:row>86</xdr:row>
      <xdr:rowOff>21524</xdr:rowOff>
    </xdr:to>
    <xdr:graphicFrame macro="">
      <xdr:nvGraphicFramePr>
        <xdr:cNvPr id="4" name="Chart 3">
          <a:extLst>
            <a:ext uri="{FF2B5EF4-FFF2-40B4-BE49-F238E27FC236}">
              <a16:creationId xmlns:a16="http://schemas.microsoft.com/office/drawing/2014/main" id="{A55D28AB-B65A-5B41-BED0-32B0D86471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611107</xdr:colOff>
      <xdr:row>63</xdr:row>
      <xdr:rowOff>90333</xdr:rowOff>
    </xdr:from>
    <xdr:to>
      <xdr:col>23</xdr:col>
      <xdr:colOff>452034</xdr:colOff>
      <xdr:row>86</xdr:row>
      <xdr:rowOff>43050</xdr:rowOff>
    </xdr:to>
    <xdr:graphicFrame macro="">
      <xdr:nvGraphicFramePr>
        <xdr:cNvPr id="5" name="Chart 4">
          <a:extLst>
            <a:ext uri="{FF2B5EF4-FFF2-40B4-BE49-F238E27FC236}">
              <a16:creationId xmlns:a16="http://schemas.microsoft.com/office/drawing/2014/main" id="{B2FD3925-C365-0B42-832E-51BE028C62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135467</xdr:colOff>
      <xdr:row>18</xdr:row>
      <xdr:rowOff>131233</xdr:rowOff>
    </xdr:from>
    <xdr:to>
      <xdr:col>14</xdr:col>
      <xdr:colOff>484717</xdr:colOff>
      <xdr:row>26</xdr:row>
      <xdr:rowOff>131233</xdr:rowOff>
    </xdr:to>
    <mc:AlternateContent xmlns:mc="http://schemas.openxmlformats.org/markup-compatibility/2006" xmlns:a14="http://schemas.microsoft.com/office/drawing/2010/main">
      <mc:Choice Requires="a14">
        <xdr:graphicFrame macro="">
          <xdr:nvGraphicFramePr>
            <xdr:cNvPr id="6" name="Product Type">
              <a:extLst>
                <a:ext uri="{FF2B5EF4-FFF2-40B4-BE49-F238E27FC236}">
                  <a16:creationId xmlns:a16="http://schemas.microsoft.com/office/drawing/2014/main" id="{2C717F7A-E0FF-A249-3F2F-26361513BF43}"/>
                </a:ext>
              </a:extLst>
            </xdr:cNvPr>
            <xdr:cNvGraphicFramePr/>
          </xdr:nvGraphicFramePr>
          <xdr:xfrm>
            <a:off x="0" y="0"/>
            <a:ext cx="0" cy="0"/>
          </xdr:xfrm>
          <a:graphic>
            <a:graphicData uri="http://schemas.microsoft.com/office/drawing/2010/slicer">
              <sle:slicer xmlns:sle="http://schemas.microsoft.com/office/drawing/2010/slicer" name="Product Type"/>
            </a:graphicData>
          </a:graphic>
        </xdr:graphicFrame>
      </mc:Choice>
      <mc:Fallback xmlns="">
        <xdr:sp macro="" textlink="">
          <xdr:nvSpPr>
            <xdr:cNvPr id="0" name=""/>
            <xdr:cNvSpPr>
              <a:spLocks noTextEdit="1"/>
            </xdr:cNvSpPr>
          </xdr:nvSpPr>
          <xdr:spPr>
            <a:xfrm>
              <a:off x="10092267" y="3856566"/>
              <a:ext cx="2008717" cy="1625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76200</xdr:colOff>
      <xdr:row>19</xdr:row>
      <xdr:rowOff>131234</xdr:rowOff>
    </xdr:from>
    <xdr:to>
      <xdr:col>4</xdr:col>
      <xdr:colOff>345440</xdr:colOff>
      <xdr:row>22</xdr:row>
      <xdr:rowOff>194734</xdr:rowOff>
    </xdr:to>
    <mc:AlternateContent xmlns:mc="http://schemas.openxmlformats.org/markup-compatibility/2006" xmlns:a14="http://schemas.microsoft.com/office/drawing/2010/main">
      <mc:Choice Requires="a14">
        <xdr:graphicFrame macro="">
          <xdr:nvGraphicFramePr>
            <xdr:cNvPr id="7" name="Order Status">
              <a:extLst>
                <a:ext uri="{FF2B5EF4-FFF2-40B4-BE49-F238E27FC236}">
                  <a16:creationId xmlns:a16="http://schemas.microsoft.com/office/drawing/2014/main" id="{44A6A5C7-5BB5-5FE4-C26D-C61943479A86}"/>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mlns="">
        <xdr:sp macro="" textlink="">
          <xdr:nvSpPr>
            <xdr:cNvPr id="0" name=""/>
            <xdr:cNvSpPr>
              <a:spLocks noTextEdit="1"/>
            </xdr:cNvSpPr>
          </xdr:nvSpPr>
          <xdr:spPr>
            <a:xfrm>
              <a:off x="1735667" y="4059767"/>
              <a:ext cx="1928706" cy="673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292100</xdr:colOff>
      <xdr:row>18</xdr:row>
      <xdr:rowOff>0</xdr:rowOff>
    </xdr:from>
    <xdr:to>
      <xdr:col>19</xdr:col>
      <xdr:colOff>558800</xdr:colOff>
      <xdr:row>27</xdr:row>
      <xdr:rowOff>177800</xdr:rowOff>
    </xdr:to>
    <mc:AlternateContent xmlns:mc="http://schemas.openxmlformats.org/markup-compatibility/2006" xmlns:a14="http://schemas.microsoft.com/office/drawing/2010/main">
      <mc:Choice Requires="a14">
        <xdr:graphicFrame macro="">
          <xdr:nvGraphicFramePr>
            <xdr:cNvPr id="8" name="Payment Method">
              <a:extLst>
                <a:ext uri="{FF2B5EF4-FFF2-40B4-BE49-F238E27FC236}">
                  <a16:creationId xmlns:a16="http://schemas.microsoft.com/office/drawing/2014/main" id="{2416BF8F-1852-4C5B-2BF0-3E66C4E390DE}"/>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4397567" y="3725333"/>
              <a:ext cx="1926166" cy="2006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50800</xdr:colOff>
      <xdr:row>18</xdr:row>
      <xdr:rowOff>165100</xdr:rowOff>
    </xdr:from>
    <xdr:to>
      <xdr:col>9</xdr:col>
      <xdr:colOff>594360</xdr:colOff>
      <xdr:row>26</xdr:row>
      <xdr:rowOff>93980</xdr:rowOff>
    </xdr:to>
    <mc:AlternateContent xmlns:mc="http://schemas.openxmlformats.org/markup-compatibility/2006" xmlns:a14="http://schemas.microsoft.com/office/drawing/2010/main">
      <mc:Choice Requires="a14">
        <xdr:graphicFrame macro="">
          <xdr:nvGraphicFramePr>
            <xdr:cNvPr id="9" name="Years (Purchase Date)">
              <a:extLst>
                <a:ext uri="{FF2B5EF4-FFF2-40B4-BE49-F238E27FC236}">
                  <a16:creationId xmlns:a16="http://schemas.microsoft.com/office/drawing/2014/main" id="{3F9ABACE-F2B0-04D2-8864-269F02EF5ED0}"/>
                </a:ext>
              </a:extLst>
            </xdr:cNvPr>
            <xdr:cNvGraphicFramePr/>
          </xdr:nvGraphicFramePr>
          <xdr:xfrm>
            <a:off x="0" y="0"/>
            <a:ext cx="0" cy="0"/>
          </xdr:xfrm>
          <a:graphic>
            <a:graphicData uri="http://schemas.microsoft.com/office/drawing/2010/slicer">
              <sle:slicer xmlns:sle="http://schemas.microsoft.com/office/drawing/2010/slicer" name="Years (Purchase Date)"/>
            </a:graphicData>
          </a:graphic>
        </xdr:graphicFrame>
      </mc:Choice>
      <mc:Fallback xmlns="">
        <xdr:sp macro="" textlink="">
          <xdr:nvSpPr>
            <xdr:cNvPr id="0" name=""/>
            <xdr:cNvSpPr>
              <a:spLocks noTextEdit="1"/>
            </xdr:cNvSpPr>
          </xdr:nvSpPr>
          <xdr:spPr>
            <a:xfrm>
              <a:off x="5858933" y="3890433"/>
              <a:ext cx="2203027" cy="1554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177800</xdr:colOff>
      <xdr:row>2</xdr:row>
      <xdr:rowOff>63500</xdr:rowOff>
    </xdr:from>
    <xdr:to>
      <xdr:col>14</xdr:col>
      <xdr:colOff>520700</xdr:colOff>
      <xdr:row>7</xdr:row>
      <xdr:rowOff>101600</xdr:rowOff>
    </xdr:to>
    <xdr:sp macro="" textlink="">
      <xdr:nvSpPr>
        <xdr:cNvPr id="10" name="Rounded Rectangle 9">
          <a:extLst>
            <a:ext uri="{FF2B5EF4-FFF2-40B4-BE49-F238E27FC236}">
              <a16:creationId xmlns:a16="http://schemas.microsoft.com/office/drawing/2014/main" id="{11101233-205A-CEC5-BBA7-481059927285}"/>
            </a:ext>
          </a:extLst>
        </xdr:cNvPr>
        <xdr:cNvSpPr/>
      </xdr:nvSpPr>
      <xdr:spPr>
        <a:xfrm>
          <a:off x="6781800" y="469900"/>
          <a:ext cx="5295900" cy="10541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8</xdr:col>
      <xdr:colOff>328854</xdr:colOff>
      <xdr:row>2</xdr:row>
      <xdr:rowOff>197903</xdr:rowOff>
    </xdr:from>
    <xdr:ext cx="5019195" cy="530658"/>
    <xdr:sp macro="" textlink="">
      <xdr:nvSpPr>
        <xdr:cNvPr id="15" name="Rectangle 14">
          <a:extLst>
            <a:ext uri="{FF2B5EF4-FFF2-40B4-BE49-F238E27FC236}">
              <a16:creationId xmlns:a16="http://schemas.microsoft.com/office/drawing/2014/main" id="{67EE411C-8589-8DF0-889B-030AB6C3336E}"/>
            </a:ext>
          </a:extLst>
        </xdr:cNvPr>
        <xdr:cNvSpPr/>
      </xdr:nvSpPr>
      <xdr:spPr>
        <a:xfrm>
          <a:off x="6932854" y="604303"/>
          <a:ext cx="5019195" cy="530658"/>
        </a:xfrm>
        <a:prstGeom prst="rect">
          <a:avLst/>
        </a:prstGeom>
        <a:solidFill>
          <a:schemeClr val="bg1"/>
        </a:solidFill>
      </xdr:spPr>
      <xdr:txBody>
        <a:bodyPr wrap="none" lIns="91440" tIns="45720" rIns="91440" bIns="45720">
          <a:spAutoFit/>
        </a:bodyPr>
        <a:lstStyle/>
        <a:p>
          <a:pPr algn="ctr"/>
          <a:r>
            <a:rPr lang="en-US" sz="2800" b="1" cap="none" spc="50">
              <a:ln w="9525" cmpd="sng">
                <a:solidFill>
                  <a:schemeClr val="accent1"/>
                </a:solidFill>
                <a:prstDash val="solid"/>
              </a:ln>
              <a:solidFill>
                <a:srgbClr val="FF0000"/>
              </a:solidFill>
              <a:effectLst>
                <a:glow rad="38100">
                  <a:schemeClr val="accent1">
                    <a:alpha val="40000"/>
                  </a:schemeClr>
                </a:glow>
              </a:effectLst>
            </a:rPr>
            <a:t>ELECTRONIC</a:t>
          </a:r>
          <a:r>
            <a:rPr lang="en-US" sz="2800" b="1" cap="none" spc="50" baseline="0">
              <a:ln w="9525" cmpd="sng">
                <a:solidFill>
                  <a:schemeClr val="accent1"/>
                </a:solidFill>
                <a:prstDash val="solid"/>
              </a:ln>
              <a:solidFill>
                <a:srgbClr val="FF0000"/>
              </a:solidFill>
              <a:effectLst>
                <a:glow rad="38100">
                  <a:schemeClr val="accent1">
                    <a:alpha val="40000"/>
                  </a:schemeClr>
                </a:glow>
              </a:effectLst>
            </a:rPr>
            <a:t> SALES OF 2023-24</a:t>
          </a:r>
          <a:endParaRPr lang="en-US" sz="2800" b="1" cap="none" spc="50">
            <a:ln w="9525" cmpd="sng">
              <a:solidFill>
                <a:schemeClr val="accent1"/>
              </a:solidFill>
              <a:prstDash val="solid"/>
            </a:ln>
            <a:solidFill>
              <a:srgbClr val="FF0000"/>
            </a:solidFill>
            <a:effectLst>
              <a:glow rad="38100">
                <a:schemeClr val="accent1">
                  <a:alpha val="40000"/>
                </a:schemeClr>
              </a:glow>
            </a:effectLst>
          </a:endParaRPr>
        </a:p>
      </xdr:txBody>
    </xdr:sp>
    <xdr:clientData/>
  </xdr:oneCellAnchor>
  <xdr:oneCellAnchor>
    <xdr:from>
      <xdr:col>7</xdr:col>
      <xdr:colOff>406378</xdr:colOff>
      <xdr:row>5</xdr:row>
      <xdr:rowOff>58203</xdr:rowOff>
    </xdr:from>
    <xdr:ext cx="6629422" cy="360897"/>
    <xdr:sp macro="" textlink="">
      <xdr:nvSpPr>
        <xdr:cNvPr id="16" name="Rectangle 15">
          <a:extLst>
            <a:ext uri="{FF2B5EF4-FFF2-40B4-BE49-F238E27FC236}">
              <a16:creationId xmlns:a16="http://schemas.microsoft.com/office/drawing/2014/main" id="{39493AF0-E86B-536E-1619-1162A0D1EAEB}"/>
            </a:ext>
          </a:extLst>
        </xdr:cNvPr>
        <xdr:cNvSpPr/>
      </xdr:nvSpPr>
      <xdr:spPr>
        <a:xfrm>
          <a:off x="6184878" y="1074203"/>
          <a:ext cx="6629422" cy="360897"/>
        </a:xfrm>
        <a:prstGeom prst="rect">
          <a:avLst/>
        </a:prstGeom>
        <a:noFill/>
      </xdr:spPr>
      <xdr:txBody>
        <a:bodyPr wrap="square" lIns="91440" tIns="45720" rIns="91440" bIns="45720">
          <a:noAutofit/>
        </a:bodyPr>
        <a:lstStyle/>
        <a:p>
          <a:pPr algn="ctr"/>
          <a:r>
            <a:rPr lang="en-US" sz="1400" b="0" cap="none" spc="0">
              <a:ln w="0"/>
              <a:solidFill>
                <a:schemeClr val="tx1"/>
              </a:solidFill>
              <a:effectLst>
                <a:outerShdw blurRad="38100" dist="19050" dir="2700000" algn="tl" rotWithShape="0">
                  <a:schemeClr val="dk1">
                    <a:alpha val="40000"/>
                  </a:schemeClr>
                </a:outerShdw>
              </a:effectLst>
            </a:rPr>
            <a:t>This</a:t>
          </a:r>
          <a:r>
            <a:rPr lang="en-US" sz="1400" b="0" cap="none" spc="0" baseline="0">
              <a:ln w="0"/>
              <a:solidFill>
                <a:schemeClr val="tx1"/>
              </a:solidFill>
              <a:effectLst>
                <a:outerShdw blurRad="38100" dist="19050" dir="2700000" algn="tl" rotWithShape="0">
                  <a:schemeClr val="dk1">
                    <a:alpha val="40000"/>
                  </a:schemeClr>
                </a:outerShdw>
              </a:effectLst>
            </a:rPr>
            <a:t> dashboard shows the insights of Electronic Sales of two years 📊.</a:t>
          </a:r>
        </a:p>
        <a:p>
          <a:pPr algn="ctr"/>
          <a:r>
            <a:rPr lang="en-US" sz="1400" b="0" cap="none" spc="0" baseline="0">
              <a:ln w="0"/>
              <a:solidFill>
                <a:schemeClr val="tx1"/>
              </a:solidFill>
              <a:effectLst>
                <a:outerShdw blurRad="38100" dist="19050" dir="2700000" algn="tl" rotWithShape="0">
                  <a:schemeClr val="dk1">
                    <a:alpha val="40000"/>
                  </a:schemeClr>
                </a:outerShdw>
              </a:effectLst>
            </a:rPr>
            <a:t>  </a:t>
          </a:r>
          <a:endParaRPr lang="en-US" sz="14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3</xdr:col>
      <xdr:colOff>400050</xdr:colOff>
      <xdr:row>7</xdr:row>
      <xdr:rowOff>114300</xdr:rowOff>
    </xdr:from>
    <xdr:to>
      <xdr:col>11</xdr:col>
      <xdr:colOff>139700</xdr:colOff>
      <xdr:row>11</xdr:row>
      <xdr:rowOff>177800</xdr:rowOff>
    </xdr:to>
    <xdr:cxnSp macro="">
      <xdr:nvCxnSpPr>
        <xdr:cNvPr id="22" name="Straight Arrow Connector 21">
          <a:extLst>
            <a:ext uri="{FF2B5EF4-FFF2-40B4-BE49-F238E27FC236}">
              <a16:creationId xmlns:a16="http://schemas.microsoft.com/office/drawing/2014/main" id="{FB80F162-3FB8-FD67-10A7-09C9ACCBDF6C}"/>
            </a:ext>
          </a:extLst>
        </xdr:cNvPr>
        <xdr:cNvCxnSpPr>
          <a:cxnSpLocks/>
        </xdr:cNvCxnSpPr>
      </xdr:nvCxnSpPr>
      <xdr:spPr>
        <a:xfrm flipH="1">
          <a:off x="2876550" y="1536700"/>
          <a:ext cx="6343650" cy="8763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438151</xdr:colOff>
      <xdr:row>7</xdr:row>
      <xdr:rowOff>127000</xdr:rowOff>
    </xdr:from>
    <xdr:to>
      <xdr:col>11</xdr:col>
      <xdr:colOff>127000</xdr:colOff>
      <xdr:row>12</xdr:row>
      <xdr:rowOff>38692</xdr:rowOff>
    </xdr:to>
    <xdr:cxnSp macro="">
      <xdr:nvCxnSpPr>
        <xdr:cNvPr id="23" name="Straight Arrow Connector 22">
          <a:extLst>
            <a:ext uri="{FF2B5EF4-FFF2-40B4-BE49-F238E27FC236}">
              <a16:creationId xmlns:a16="http://schemas.microsoft.com/office/drawing/2014/main" id="{E8D5C429-7736-C14B-879A-DC55D0195849}"/>
            </a:ext>
          </a:extLst>
        </xdr:cNvPr>
        <xdr:cNvCxnSpPr>
          <a:cxnSpLocks/>
          <a:endCxn id="29" idx="0"/>
        </xdr:cNvCxnSpPr>
      </xdr:nvCxnSpPr>
      <xdr:spPr>
        <a:xfrm flipH="1">
          <a:off x="7042151" y="1549400"/>
          <a:ext cx="2165349" cy="94039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50800</xdr:colOff>
      <xdr:row>7</xdr:row>
      <xdr:rowOff>101600</xdr:rowOff>
    </xdr:from>
    <xdr:to>
      <xdr:col>13</xdr:col>
      <xdr:colOff>450851</xdr:colOff>
      <xdr:row>12</xdr:row>
      <xdr:rowOff>7402</xdr:rowOff>
    </xdr:to>
    <xdr:cxnSp macro="">
      <xdr:nvCxnSpPr>
        <xdr:cNvPr id="26" name="Straight Arrow Connector 25">
          <a:extLst>
            <a:ext uri="{FF2B5EF4-FFF2-40B4-BE49-F238E27FC236}">
              <a16:creationId xmlns:a16="http://schemas.microsoft.com/office/drawing/2014/main" id="{50B8AB34-F1D6-434C-8892-5C7448BACFB7}"/>
            </a:ext>
          </a:extLst>
        </xdr:cNvPr>
        <xdr:cNvCxnSpPr>
          <a:cxnSpLocks/>
          <a:endCxn id="43" idx="0"/>
        </xdr:cNvCxnSpPr>
      </xdr:nvCxnSpPr>
      <xdr:spPr>
        <a:xfrm>
          <a:off x="9131300" y="1524000"/>
          <a:ext cx="2051051" cy="93450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127000</xdr:colOff>
      <xdr:row>7</xdr:row>
      <xdr:rowOff>114300</xdr:rowOff>
    </xdr:from>
    <xdr:to>
      <xdr:col>18</xdr:col>
      <xdr:colOff>527044</xdr:colOff>
      <xdr:row>12</xdr:row>
      <xdr:rowOff>20102</xdr:rowOff>
    </xdr:to>
    <xdr:cxnSp macro="">
      <xdr:nvCxnSpPr>
        <xdr:cNvPr id="30" name="Straight Arrow Connector 29">
          <a:extLst>
            <a:ext uri="{FF2B5EF4-FFF2-40B4-BE49-F238E27FC236}">
              <a16:creationId xmlns:a16="http://schemas.microsoft.com/office/drawing/2014/main" id="{8807C9E7-B8FA-7B4E-A32A-FF47C60058E4}"/>
            </a:ext>
          </a:extLst>
        </xdr:cNvPr>
        <xdr:cNvCxnSpPr>
          <a:cxnSpLocks/>
          <a:endCxn id="52" idx="0"/>
        </xdr:cNvCxnSpPr>
      </xdr:nvCxnSpPr>
      <xdr:spPr>
        <a:xfrm>
          <a:off x="9207500" y="1536700"/>
          <a:ext cx="6178544" cy="93450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xdr:col>
      <xdr:colOff>548987</xdr:colOff>
      <xdr:row>12</xdr:row>
      <xdr:rowOff>7403</xdr:rowOff>
    </xdr:from>
    <xdr:ext cx="184731" cy="530658"/>
    <xdr:sp macro="" textlink="">
      <xdr:nvSpPr>
        <xdr:cNvPr id="34" name="Rectangle 33">
          <a:extLst>
            <a:ext uri="{FF2B5EF4-FFF2-40B4-BE49-F238E27FC236}">
              <a16:creationId xmlns:a16="http://schemas.microsoft.com/office/drawing/2014/main" id="{260E0CA6-67C9-9690-7059-3E4ACA01E57E}"/>
            </a:ext>
          </a:extLst>
        </xdr:cNvPr>
        <xdr:cNvSpPr/>
      </xdr:nvSpPr>
      <xdr:spPr>
        <a:xfrm>
          <a:off x="2199987" y="2445803"/>
          <a:ext cx="184731" cy="530658"/>
        </a:xfrm>
        <a:prstGeom prst="rect">
          <a:avLst/>
        </a:prstGeom>
        <a:noFill/>
      </xdr:spPr>
      <xdr:txBody>
        <a:bodyPr wrap="none" lIns="91440" tIns="45720" rIns="91440" bIns="45720">
          <a:spAutoFit/>
        </a:bodyPr>
        <a:lstStyle/>
        <a:p>
          <a:pPr algn="ctr"/>
          <a:endParaRPr lang="en-US" sz="2800" b="1" cap="none" spc="50">
            <a:ln w="0"/>
            <a:solidFill>
              <a:schemeClr val="tx2">
                <a:lumMod val="50000"/>
                <a:lumOff val="50000"/>
              </a:schemeClr>
            </a:solidFill>
            <a:effectLst>
              <a:innerShdw blurRad="63500" dist="50800" dir="13500000">
                <a:srgbClr val="000000">
                  <a:alpha val="50000"/>
                </a:srgbClr>
              </a:innerShdw>
            </a:effectLst>
          </a:endParaRPr>
        </a:p>
      </xdr:txBody>
    </xdr:sp>
    <xdr:clientData/>
  </xdr:oneCellAnchor>
  <xdr:oneCellAnchor>
    <xdr:from>
      <xdr:col>7</xdr:col>
      <xdr:colOff>731012</xdr:colOff>
      <xdr:row>11</xdr:row>
      <xdr:rowOff>165100</xdr:rowOff>
    </xdr:from>
    <xdr:ext cx="184731" cy="530658"/>
    <xdr:sp macro="" textlink="">
      <xdr:nvSpPr>
        <xdr:cNvPr id="35" name="Rectangle 34">
          <a:extLst>
            <a:ext uri="{FF2B5EF4-FFF2-40B4-BE49-F238E27FC236}">
              <a16:creationId xmlns:a16="http://schemas.microsoft.com/office/drawing/2014/main" id="{1D1877EE-9393-6A46-ACB6-93748C753F63}"/>
            </a:ext>
          </a:extLst>
        </xdr:cNvPr>
        <xdr:cNvSpPr/>
      </xdr:nvSpPr>
      <xdr:spPr>
        <a:xfrm>
          <a:off x="6509512" y="2400300"/>
          <a:ext cx="184731" cy="530658"/>
        </a:xfrm>
        <a:prstGeom prst="rect">
          <a:avLst/>
        </a:prstGeom>
        <a:noFill/>
      </xdr:spPr>
      <xdr:txBody>
        <a:bodyPr wrap="none" lIns="91440" tIns="45720" rIns="91440" bIns="45720">
          <a:spAutoFit/>
        </a:bodyPr>
        <a:lstStyle/>
        <a:p>
          <a:pPr algn="ctr"/>
          <a:endParaRPr lang="en-US" sz="2800" b="1" cap="none" spc="50">
            <a:ln w="0"/>
            <a:solidFill>
              <a:schemeClr val="tx2">
                <a:lumMod val="50000"/>
                <a:lumOff val="50000"/>
              </a:schemeClr>
            </a:solidFill>
            <a:effectLst>
              <a:innerShdw blurRad="63500" dist="50800" dir="13500000">
                <a:srgbClr val="000000">
                  <a:alpha val="50000"/>
                </a:srgbClr>
              </a:innerShdw>
            </a:effectLst>
          </a:endParaRPr>
        </a:p>
      </xdr:txBody>
    </xdr:sp>
    <xdr:clientData/>
  </xdr:oneCellAnchor>
  <xdr:oneCellAnchor>
    <xdr:from>
      <xdr:col>18</xdr:col>
      <xdr:colOff>19808</xdr:colOff>
      <xdr:row>11</xdr:row>
      <xdr:rowOff>152400</xdr:rowOff>
    </xdr:from>
    <xdr:ext cx="184730" cy="530658"/>
    <xdr:sp macro="" textlink="">
      <xdr:nvSpPr>
        <xdr:cNvPr id="37" name="Rectangle 36">
          <a:extLst>
            <a:ext uri="{FF2B5EF4-FFF2-40B4-BE49-F238E27FC236}">
              <a16:creationId xmlns:a16="http://schemas.microsoft.com/office/drawing/2014/main" id="{5D7867A4-EAE1-3C40-8BB0-C6693988A9B9}"/>
            </a:ext>
          </a:extLst>
        </xdr:cNvPr>
        <xdr:cNvSpPr/>
      </xdr:nvSpPr>
      <xdr:spPr>
        <a:xfrm>
          <a:off x="14878808" y="2387600"/>
          <a:ext cx="184730" cy="530658"/>
        </a:xfrm>
        <a:prstGeom prst="rect">
          <a:avLst/>
        </a:prstGeom>
        <a:noFill/>
      </xdr:spPr>
      <xdr:txBody>
        <a:bodyPr wrap="none" lIns="91440" tIns="45720" rIns="91440" bIns="45720">
          <a:spAutoFit/>
        </a:bodyPr>
        <a:lstStyle/>
        <a:p>
          <a:pPr algn="ctr"/>
          <a:endParaRPr lang="en-US" sz="2800" b="1" cap="none" spc="50">
            <a:ln w="0"/>
            <a:solidFill>
              <a:schemeClr val="tx2">
                <a:lumMod val="50000"/>
                <a:lumOff val="50000"/>
              </a:schemeClr>
            </a:solidFill>
            <a:effectLst>
              <a:innerShdw blurRad="63500" dist="50800" dir="13500000">
                <a:srgbClr val="000000">
                  <a:alpha val="50000"/>
                </a:srgbClr>
              </a:innerShdw>
            </a:effectLst>
          </a:endParaRPr>
        </a:p>
      </xdr:txBody>
    </xdr:sp>
    <xdr:clientData/>
  </xdr:oneCellAnchor>
  <xdr:oneCellAnchor>
    <xdr:from>
      <xdr:col>4</xdr:col>
      <xdr:colOff>190068</xdr:colOff>
      <xdr:row>11</xdr:row>
      <xdr:rowOff>96303</xdr:rowOff>
    </xdr:from>
    <xdr:ext cx="864032" cy="538697"/>
    <xdr:sp macro="" textlink="">
      <xdr:nvSpPr>
        <xdr:cNvPr id="38" name="Rectangle 37">
          <a:extLst>
            <a:ext uri="{FF2B5EF4-FFF2-40B4-BE49-F238E27FC236}">
              <a16:creationId xmlns:a16="http://schemas.microsoft.com/office/drawing/2014/main" id="{E410D9E3-8840-498D-26D5-E22E092CB025}"/>
            </a:ext>
          </a:extLst>
        </xdr:cNvPr>
        <xdr:cNvSpPr/>
      </xdr:nvSpPr>
      <xdr:spPr>
        <a:xfrm>
          <a:off x="3492068" y="2331503"/>
          <a:ext cx="864032" cy="538697"/>
        </a:xfrm>
        <a:prstGeom prst="rect">
          <a:avLst/>
        </a:prstGeom>
        <a:noFill/>
      </xdr:spPr>
      <xdr:txBody>
        <a:bodyPr wrap="square" lIns="91440" tIns="45720" rIns="91440" bIns="45720">
          <a:noAutofit/>
        </a:bodyPr>
        <a:lstStyle/>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9</xdr:col>
      <xdr:colOff>101600</xdr:colOff>
      <xdr:row>11</xdr:row>
      <xdr:rowOff>109003</xdr:rowOff>
    </xdr:from>
    <xdr:ext cx="1270432" cy="602197"/>
    <xdr:sp macro="" textlink="">
      <xdr:nvSpPr>
        <xdr:cNvPr id="39" name="Rectangle 38">
          <a:extLst>
            <a:ext uri="{FF2B5EF4-FFF2-40B4-BE49-F238E27FC236}">
              <a16:creationId xmlns:a16="http://schemas.microsoft.com/office/drawing/2014/main" id="{CD8AF2E4-5BAF-25CB-9E0A-EF60D60903D9}"/>
            </a:ext>
          </a:extLst>
        </xdr:cNvPr>
        <xdr:cNvSpPr/>
      </xdr:nvSpPr>
      <xdr:spPr>
        <a:xfrm>
          <a:off x="7531100" y="2344203"/>
          <a:ext cx="1270432" cy="602197"/>
        </a:xfrm>
        <a:prstGeom prst="rect">
          <a:avLst/>
        </a:prstGeom>
        <a:noFill/>
      </xdr:spPr>
      <xdr:txBody>
        <a:bodyPr wrap="none" lIns="91440" tIns="45720" rIns="91440" bIns="45720">
          <a:noAutofit/>
        </a:bodyPr>
        <a:lstStyle/>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14</xdr:col>
      <xdr:colOff>612485</xdr:colOff>
      <xdr:row>11</xdr:row>
      <xdr:rowOff>96303</xdr:rowOff>
    </xdr:from>
    <xdr:ext cx="184730" cy="937693"/>
    <xdr:sp macro="" textlink="">
      <xdr:nvSpPr>
        <xdr:cNvPr id="40" name="Rectangle 39">
          <a:extLst>
            <a:ext uri="{FF2B5EF4-FFF2-40B4-BE49-F238E27FC236}">
              <a16:creationId xmlns:a16="http://schemas.microsoft.com/office/drawing/2014/main" id="{E225117B-C116-2C03-14D2-5D53598EA77A}"/>
            </a:ext>
          </a:extLst>
        </xdr:cNvPr>
        <xdr:cNvSpPr/>
      </xdr:nvSpPr>
      <xdr:spPr>
        <a:xfrm>
          <a:off x="12169485" y="2331503"/>
          <a:ext cx="184730" cy="937693"/>
        </a:xfrm>
        <a:prstGeom prst="rect">
          <a:avLst/>
        </a:prstGeom>
        <a:noFill/>
      </xdr:spPr>
      <xdr:txBody>
        <a:bodyPr wrap="none" lIns="91440" tIns="45720" rIns="91440" bIns="45720">
          <a:spAutoFit/>
        </a:bodyPr>
        <a:lstStyle/>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2</xdr:col>
      <xdr:colOff>233946</xdr:colOff>
      <xdr:row>12</xdr:row>
      <xdr:rowOff>7402</xdr:rowOff>
    </xdr:from>
    <xdr:ext cx="2059410" cy="468013"/>
    <xdr:sp macro="" textlink="">
      <xdr:nvSpPr>
        <xdr:cNvPr id="18" name="Rectangle 17">
          <a:extLst>
            <a:ext uri="{FF2B5EF4-FFF2-40B4-BE49-F238E27FC236}">
              <a16:creationId xmlns:a16="http://schemas.microsoft.com/office/drawing/2014/main" id="{F3D50CC2-0FBD-CAEF-C465-1150621DA6CE}"/>
            </a:ext>
          </a:extLst>
        </xdr:cNvPr>
        <xdr:cNvSpPr/>
      </xdr:nvSpPr>
      <xdr:spPr>
        <a:xfrm>
          <a:off x="1893413" y="2462735"/>
          <a:ext cx="2059410" cy="468013"/>
        </a:xfrm>
        <a:prstGeom prst="rect">
          <a:avLst/>
        </a:prstGeom>
        <a:noFill/>
      </xdr:spPr>
      <xdr:txBody>
        <a:bodyPr wrap="none" lIns="91440" tIns="45720" rIns="91440" bIns="45720" anchor="ctr">
          <a:spAutoFit/>
        </a:bodyPr>
        <a:lstStyle/>
        <a:p>
          <a:pPr algn="ctr"/>
          <a:r>
            <a:rPr lang="en-US" sz="2400" b="0" cap="none" spc="50">
              <a:ln w="9525" cmpd="sng">
                <a:solidFill>
                  <a:schemeClr val="accent1"/>
                </a:solidFill>
                <a:prstDash val="solid"/>
              </a:ln>
              <a:solidFill>
                <a:srgbClr val="FF0000"/>
              </a:solidFill>
              <a:effectLst>
                <a:glow rad="38100">
                  <a:schemeClr val="accent1">
                    <a:alpha val="40000"/>
                  </a:schemeClr>
                </a:glow>
              </a:effectLst>
            </a:rPr>
            <a:t>Total</a:t>
          </a:r>
          <a:r>
            <a:rPr lang="en-US" sz="2400" b="0" cap="none" spc="50" baseline="0">
              <a:ln w="9525" cmpd="sng">
                <a:solidFill>
                  <a:schemeClr val="accent1"/>
                </a:solidFill>
                <a:prstDash val="solid"/>
              </a:ln>
              <a:solidFill>
                <a:srgbClr val="FF0000"/>
              </a:solidFill>
              <a:effectLst>
                <a:glow rad="38100">
                  <a:schemeClr val="accent1">
                    <a:alpha val="40000"/>
                  </a:schemeClr>
                </a:glow>
              </a:effectLst>
            </a:rPr>
            <a:t> Revenue</a:t>
          </a:r>
          <a:endParaRPr lang="en-US" sz="2400" b="0" cap="none" spc="50">
            <a:ln w="9525" cmpd="sng">
              <a:solidFill>
                <a:schemeClr val="accent1"/>
              </a:solidFill>
              <a:prstDash val="solid"/>
            </a:ln>
            <a:solidFill>
              <a:srgbClr val="FF0000"/>
            </a:solidFill>
            <a:effectLst>
              <a:glow rad="38100">
                <a:schemeClr val="accent1">
                  <a:alpha val="40000"/>
                </a:schemeClr>
              </a:glow>
            </a:effectLst>
          </a:endParaRPr>
        </a:p>
      </xdr:txBody>
    </xdr:sp>
    <xdr:clientData/>
  </xdr:oneCellAnchor>
  <xdr:oneCellAnchor>
    <xdr:from>
      <xdr:col>4</xdr:col>
      <xdr:colOff>166529</xdr:colOff>
      <xdr:row>15</xdr:row>
      <xdr:rowOff>32803</xdr:rowOff>
    </xdr:from>
    <xdr:ext cx="492443" cy="496290"/>
    <xdr:sp macro="" textlink="">
      <xdr:nvSpPr>
        <xdr:cNvPr id="25" name="Rectangle 24">
          <a:extLst>
            <a:ext uri="{FF2B5EF4-FFF2-40B4-BE49-F238E27FC236}">
              <a16:creationId xmlns:a16="http://schemas.microsoft.com/office/drawing/2014/main" id="{E44E1D28-F763-7DC3-0166-CF1CD69C59AA}"/>
            </a:ext>
          </a:extLst>
        </xdr:cNvPr>
        <xdr:cNvSpPr/>
      </xdr:nvSpPr>
      <xdr:spPr>
        <a:xfrm>
          <a:off x="3468529" y="3106203"/>
          <a:ext cx="492443" cy="496290"/>
        </a:xfrm>
        <a:prstGeom prst="rect">
          <a:avLst/>
        </a:prstGeom>
        <a:noFill/>
      </xdr:spPr>
      <xdr:txBody>
        <a:bodyPr wrap="none" lIns="91440" tIns="45720" rIns="91440" bIns="45720">
          <a:spAutoFit/>
        </a:bodyPr>
        <a:lstStyle/>
        <a:p>
          <a:pPr algn="ctr"/>
          <a:r>
            <a:rPr lang="en-US" sz="2400" b="0" cap="none" spc="0">
              <a:ln w="0"/>
              <a:solidFill>
                <a:schemeClr val="tx1"/>
              </a:solidFill>
              <a:effectLst>
                <a:outerShdw blurRad="38100" dist="19050" dir="2700000" algn="tl" rotWithShape="0">
                  <a:schemeClr val="dk1">
                    <a:alpha val="40000"/>
                  </a:schemeClr>
                </a:outerShdw>
              </a:effectLst>
            </a:rPr>
            <a:t>💵</a:t>
          </a:r>
        </a:p>
      </xdr:txBody>
    </xdr:sp>
    <xdr:clientData/>
  </xdr:oneCellAnchor>
  <xdr:oneCellAnchor>
    <xdr:from>
      <xdr:col>7</xdr:col>
      <xdr:colOff>548987</xdr:colOff>
      <xdr:row>12</xdr:row>
      <xdr:rowOff>7403</xdr:rowOff>
    </xdr:from>
    <xdr:ext cx="184731" cy="530658"/>
    <xdr:sp macro="" textlink="">
      <xdr:nvSpPr>
        <xdr:cNvPr id="27" name="Rectangle 26">
          <a:extLst>
            <a:ext uri="{FF2B5EF4-FFF2-40B4-BE49-F238E27FC236}">
              <a16:creationId xmlns:a16="http://schemas.microsoft.com/office/drawing/2014/main" id="{7D72FA83-8AC8-3E4A-AD8E-74CD3DB0F598}"/>
            </a:ext>
          </a:extLst>
        </xdr:cNvPr>
        <xdr:cNvSpPr/>
      </xdr:nvSpPr>
      <xdr:spPr>
        <a:xfrm>
          <a:off x="2199987" y="2458503"/>
          <a:ext cx="184731" cy="530658"/>
        </a:xfrm>
        <a:prstGeom prst="rect">
          <a:avLst/>
        </a:prstGeom>
        <a:noFill/>
      </xdr:spPr>
      <xdr:txBody>
        <a:bodyPr wrap="none" lIns="91440" tIns="45720" rIns="91440" bIns="45720">
          <a:spAutoFit/>
        </a:bodyPr>
        <a:lstStyle/>
        <a:p>
          <a:pPr algn="ctr"/>
          <a:endParaRPr lang="en-US" sz="2800" b="1" cap="none" spc="50">
            <a:ln w="0"/>
            <a:solidFill>
              <a:schemeClr val="tx2">
                <a:lumMod val="50000"/>
                <a:lumOff val="50000"/>
              </a:schemeClr>
            </a:solidFill>
            <a:effectLst>
              <a:innerShdw blurRad="63500" dist="50800" dir="13500000">
                <a:srgbClr val="000000">
                  <a:alpha val="50000"/>
                </a:srgbClr>
              </a:innerShdw>
            </a:effectLst>
          </a:endParaRPr>
        </a:p>
      </xdr:txBody>
    </xdr:sp>
    <xdr:clientData/>
  </xdr:oneCellAnchor>
  <xdr:oneCellAnchor>
    <xdr:from>
      <xdr:col>9</xdr:col>
      <xdr:colOff>190068</xdr:colOff>
      <xdr:row>11</xdr:row>
      <xdr:rowOff>96303</xdr:rowOff>
    </xdr:from>
    <xdr:ext cx="864032" cy="538697"/>
    <xdr:sp macro="" textlink="">
      <xdr:nvSpPr>
        <xdr:cNvPr id="28" name="Rectangle 27">
          <a:extLst>
            <a:ext uri="{FF2B5EF4-FFF2-40B4-BE49-F238E27FC236}">
              <a16:creationId xmlns:a16="http://schemas.microsoft.com/office/drawing/2014/main" id="{53087BAD-ADBF-6048-A571-2A8237BC8122}"/>
            </a:ext>
          </a:extLst>
        </xdr:cNvPr>
        <xdr:cNvSpPr/>
      </xdr:nvSpPr>
      <xdr:spPr>
        <a:xfrm>
          <a:off x="3492068" y="2331503"/>
          <a:ext cx="864032" cy="538697"/>
        </a:xfrm>
        <a:prstGeom prst="rect">
          <a:avLst/>
        </a:prstGeom>
        <a:noFill/>
      </xdr:spPr>
      <xdr:txBody>
        <a:bodyPr wrap="square" lIns="91440" tIns="45720" rIns="91440" bIns="45720">
          <a:noAutofit/>
        </a:bodyPr>
        <a:lstStyle/>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6</xdr:col>
      <xdr:colOff>794149</xdr:colOff>
      <xdr:row>12</xdr:row>
      <xdr:rowOff>38692</xdr:rowOff>
    </xdr:from>
    <xdr:ext cx="2590004" cy="405432"/>
    <xdr:sp macro="" textlink="">
      <xdr:nvSpPr>
        <xdr:cNvPr id="29" name="Rectangle 28">
          <a:extLst>
            <a:ext uri="{FF2B5EF4-FFF2-40B4-BE49-F238E27FC236}">
              <a16:creationId xmlns:a16="http://schemas.microsoft.com/office/drawing/2014/main" id="{5E5CE724-4F05-C340-B03D-0458E52C28C2}"/>
            </a:ext>
          </a:extLst>
        </xdr:cNvPr>
        <xdr:cNvSpPr/>
      </xdr:nvSpPr>
      <xdr:spPr>
        <a:xfrm>
          <a:off x="5747149" y="2489792"/>
          <a:ext cx="2590004" cy="405432"/>
        </a:xfrm>
        <a:prstGeom prst="rect">
          <a:avLst/>
        </a:prstGeom>
        <a:noFill/>
      </xdr:spPr>
      <xdr:txBody>
        <a:bodyPr wrap="none" lIns="91440" tIns="45720" rIns="91440" bIns="45720" anchor="ctr">
          <a:spAutoFit/>
        </a:bodyPr>
        <a:lstStyle/>
        <a:p>
          <a:pPr algn="ctr"/>
          <a:r>
            <a:rPr lang="en-US" sz="2000" b="0" cap="none" spc="50" baseline="0">
              <a:ln w="9525" cmpd="sng">
                <a:solidFill>
                  <a:schemeClr val="accent1"/>
                </a:solidFill>
                <a:prstDash val="solid"/>
              </a:ln>
              <a:solidFill>
                <a:srgbClr val="FF0000"/>
              </a:solidFill>
              <a:effectLst>
                <a:glow rad="38100">
                  <a:schemeClr val="accent1">
                    <a:alpha val="40000"/>
                  </a:schemeClr>
                </a:glow>
              </a:effectLst>
            </a:rPr>
            <a:t>Highest Product Order</a:t>
          </a:r>
          <a:endParaRPr lang="en-US" sz="2000" b="0" cap="none" spc="50">
            <a:ln w="9525" cmpd="sng">
              <a:solidFill>
                <a:schemeClr val="accent1"/>
              </a:solidFill>
              <a:prstDash val="solid"/>
            </a:ln>
            <a:solidFill>
              <a:srgbClr val="FF0000"/>
            </a:solidFill>
            <a:effectLst>
              <a:glow rad="38100">
                <a:schemeClr val="accent1">
                  <a:alpha val="40000"/>
                </a:schemeClr>
              </a:glow>
            </a:effectLst>
          </a:endParaRPr>
        </a:p>
      </xdr:txBody>
    </xdr:sp>
    <xdr:clientData/>
  </xdr:oneCellAnchor>
  <xdr:oneCellAnchor>
    <xdr:from>
      <xdr:col>9</xdr:col>
      <xdr:colOff>331628</xdr:colOff>
      <xdr:row>15</xdr:row>
      <xdr:rowOff>7403</xdr:rowOff>
    </xdr:from>
    <xdr:ext cx="492444" cy="496290"/>
    <xdr:sp macro="" textlink="">
      <xdr:nvSpPr>
        <xdr:cNvPr id="31" name="Rectangle 30">
          <a:extLst>
            <a:ext uri="{FF2B5EF4-FFF2-40B4-BE49-F238E27FC236}">
              <a16:creationId xmlns:a16="http://schemas.microsoft.com/office/drawing/2014/main" id="{2AE8FD1A-5A86-7242-84AA-8E9BC0B0CB7B}"/>
            </a:ext>
          </a:extLst>
        </xdr:cNvPr>
        <xdr:cNvSpPr/>
      </xdr:nvSpPr>
      <xdr:spPr>
        <a:xfrm>
          <a:off x="7761128" y="3080803"/>
          <a:ext cx="492444" cy="496290"/>
        </a:xfrm>
        <a:prstGeom prst="rect">
          <a:avLst/>
        </a:prstGeom>
        <a:noFill/>
      </xdr:spPr>
      <xdr:txBody>
        <a:bodyPr wrap="none" lIns="91440" tIns="45720" rIns="91440" bIns="45720">
          <a:spAutoFit/>
        </a:bodyPr>
        <a:lstStyle/>
        <a:p>
          <a:pPr algn="ctr"/>
          <a:r>
            <a:rPr lang="en-US" sz="2400" b="0" cap="none" spc="0">
              <a:ln w="0"/>
              <a:solidFill>
                <a:schemeClr val="tx1"/>
              </a:solidFill>
              <a:effectLst>
                <a:outerShdw blurRad="38100" dist="19050" dir="2700000" algn="tl" rotWithShape="0">
                  <a:schemeClr val="dk1">
                    <a:alpha val="40000"/>
                  </a:schemeClr>
                </a:outerShdw>
              </a:effectLst>
            </a:rPr>
            <a:t>🚛</a:t>
          </a:r>
        </a:p>
      </xdr:txBody>
    </xdr:sp>
    <xdr:clientData/>
  </xdr:oneCellAnchor>
  <xdr:oneCellAnchor>
    <xdr:from>
      <xdr:col>12</xdr:col>
      <xdr:colOff>731012</xdr:colOff>
      <xdr:row>11</xdr:row>
      <xdr:rowOff>165100</xdr:rowOff>
    </xdr:from>
    <xdr:ext cx="184731" cy="530658"/>
    <xdr:sp macro="" textlink="">
      <xdr:nvSpPr>
        <xdr:cNvPr id="32" name="Rectangle 31">
          <a:extLst>
            <a:ext uri="{FF2B5EF4-FFF2-40B4-BE49-F238E27FC236}">
              <a16:creationId xmlns:a16="http://schemas.microsoft.com/office/drawing/2014/main" id="{CCEB931D-882C-A346-B8CA-8BF5FA2B19F9}"/>
            </a:ext>
          </a:extLst>
        </xdr:cNvPr>
        <xdr:cNvSpPr/>
      </xdr:nvSpPr>
      <xdr:spPr>
        <a:xfrm>
          <a:off x="6509512" y="2400300"/>
          <a:ext cx="184731" cy="530658"/>
        </a:xfrm>
        <a:prstGeom prst="rect">
          <a:avLst/>
        </a:prstGeom>
        <a:noFill/>
      </xdr:spPr>
      <xdr:txBody>
        <a:bodyPr wrap="none" lIns="91440" tIns="45720" rIns="91440" bIns="45720">
          <a:spAutoFit/>
        </a:bodyPr>
        <a:lstStyle/>
        <a:p>
          <a:pPr algn="ctr"/>
          <a:endParaRPr lang="en-US" sz="2800" b="1" cap="none" spc="50">
            <a:ln w="0"/>
            <a:solidFill>
              <a:schemeClr val="tx2">
                <a:lumMod val="50000"/>
                <a:lumOff val="50000"/>
              </a:schemeClr>
            </a:solidFill>
            <a:effectLst>
              <a:innerShdw blurRad="63500" dist="50800" dir="13500000">
                <a:srgbClr val="000000">
                  <a:alpha val="50000"/>
                </a:srgbClr>
              </a:innerShdw>
            </a:effectLst>
          </a:endParaRPr>
        </a:p>
      </xdr:txBody>
    </xdr:sp>
    <xdr:clientData/>
  </xdr:oneCellAnchor>
  <xdr:oneCellAnchor>
    <xdr:from>
      <xdr:col>14</xdr:col>
      <xdr:colOff>101600</xdr:colOff>
      <xdr:row>11</xdr:row>
      <xdr:rowOff>109003</xdr:rowOff>
    </xdr:from>
    <xdr:ext cx="1270432" cy="602197"/>
    <xdr:sp macro="" textlink="">
      <xdr:nvSpPr>
        <xdr:cNvPr id="33" name="Rectangle 32">
          <a:extLst>
            <a:ext uri="{FF2B5EF4-FFF2-40B4-BE49-F238E27FC236}">
              <a16:creationId xmlns:a16="http://schemas.microsoft.com/office/drawing/2014/main" id="{ADD23FCE-39A1-D94D-8614-B0623ED62C5A}"/>
            </a:ext>
          </a:extLst>
        </xdr:cNvPr>
        <xdr:cNvSpPr/>
      </xdr:nvSpPr>
      <xdr:spPr>
        <a:xfrm>
          <a:off x="7531100" y="2344203"/>
          <a:ext cx="1270432" cy="602197"/>
        </a:xfrm>
        <a:prstGeom prst="rect">
          <a:avLst/>
        </a:prstGeom>
        <a:noFill/>
      </xdr:spPr>
      <xdr:txBody>
        <a:bodyPr wrap="none" lIns="91440" tIns="45720" rIns="91440" bIns="45720">
          <a:noAutofit/>
        </a:bodyPr>
        <a:lstStyle/>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12</xdr:col>
      <xdr:colOff>548987</xdr:colOff>
      <xdr:row>12</xdr:row>
      <xdr:rowOff>7403</xdr:rowOff>
    </xdr:from>
    <xdr:ext cx="184731" cy="530658"/>
    <xdr:sp macro="" textlink="">
      <xdr:nvSpPr>
        <xdr:cNvPr id="41" name="Rectangle 40">
          <a:extLst>
            <a:ext uri="{FF2B5EF4-FFF2-40B4-BE49-F238E27FC236}">
              <a16:creationId xmlns:a16="http://schemas.microsoft.com/office/drawing/2014/main" id="{25449BDD-76BF-084A-A59A-76B9142E40F0}"/>
            </a:ext>
          </a:extLst>
        </xdr:cNvPr>
        <xdr:cNvSpPr/>
      </xdr:nvSpPr>
      <xdr:spPr>
        <a:xfrm>
          <a:off x="6327487" y="2458503"/>
          <a:ext cx="184731" cy="530658"/>
        </a:xfrm>
        <a:prstGeom prst="rect">
          <a:avLst/>
        </a:prstGeom>
        <a:noFill/>
      </xdr:spPr>
      <xdr:txBody>
        <a:bodyPr wrap="none" lIns="91440" tIns="45720" rIns="91440" bIns="45720">
          <a:spAutoFit/>
        </a:bodyPr>
        <a:lstStyle/>
        <a:p>
          <a:pPr algn="ctr"/>
          <a:endParaRPr lang="en-US" sz="2800" b="1" cap="none" spc="50">
            <a:ln w="0"/>
            <a:solidFill>
              <a:schemeClr val="tx2">
                <a:lumMod val="50000"/>
                <a:lumOff val="50000"/>
              </a:schemeClr>
            </a:solidFill>
            <a:effectLst>
              <a:innerShdw blurRad="63500" dist="50800" dir="13500000">
                <a:srgbClr val="000000">
                  <a:alpha val="50000"/>
                </a:srgbClr>
              </a:innerShdw>
            </a:effectLst>
          </a:endParaRPr>
        </a:p>
      </xdr:txBody>
    </xdr:sp>
    <xdr:clientData/>
  </xdr:oneCellAnchor>
  <xdr:oneCellAnchor>
    <xdr:from>
      <xdr:col>14</xdr:col>
      <xdr:colOff>190068</xdr:colOff>
      <xdr:row>11</xdr:row>
      <xdr:rowOff>96303</xdr:rowOff>
    </xdr:from>
    <xdr:ext cx="864032" cy="538697"/>
    <xdr:sp macro="" textlink="">
      <xdr:nvSpPr>
        <xdr:cNvPr id="42" name="Rectangle 41">
          <a:extLst>
            <a:ext uri="{FF2B5EF4-FFF2-40B4-BE49-F238E27FC236}">
              <a16:creationId xmlns:a16="http://schemas.microsoft.com/office/drawing/2014/main" id="{394D971E-BA62-A04F-BC25-747FCF18B46E}"/>
            </a:ext>
          </a:extLst>
        </xdr:cNvPr>
        <xdr:cNvSpPr/>
      </xdr:nvSpPr>
      <xdr:spPr>
        <a:xfrm>
          <a:off x="7619568" y="2331503"/>
          <a:ext cx="864032" cy="538697"/>
        </a:xfrm>
        <a:prstGeom prst="rect">
          <a:avLst/>
        </a:prstGeom>
        <a:noFill/>
      </xdr:spPr>
      <xdr:txBody>
        <a:bodyPr wrap="square" lIns="91440" tIns="45720" rIns="91440" bIns="45720">
          <a:noAutofit/>
        </a:bodyPr>
        <a:lstStyle/>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12</xdr:col>
      <xdr:colOff>511365</xdr:colOff>
      <xdr:row>12</xdr:row>
      <xdr:rowOff>7402</xdr:rowOff>
    </xdr:from>
    <xdr:ext cx="1529971" cy="468013"/>
    <xdr:sp macro="" textlink="">
      <xdr:nvSpPr>
        <xdr:cNvPr id="43" name="Rectangle 42">
          <a:extLst>
            <a:ext uri="{FF2B5EF4-FFF2-40B4-BE49-F238E27FC236}">
              <a16:creationId xmlns:a16="http://schemas.microsoft.com/office/drawing/2014/main" id="{F8D024FB-D75A-8944-AC0B-FD9BDDC3FD89}"/>
            </a:ext>
          </a:extLst>
        </xdr:cNvPr>
        <xdr:cNvSpPr/>
      </xdr:nvSpPr>
      <xdr:spPr>
        <a:xfrm>
          <a:off x="10417365" y="2458502"/>
          <a:ext cx="1529971" cy="468013"/>
        </a:xfrm>
        <a:prstGeom prst="rect">
          <a:avLst/>
        </a:prstGeom>
        <a:noFill/>
      </xdr:spPr>
      <xdr:txBody>
        <a:bodyPr wrap="none" lIns="91440" tIns="45720" rIns="91440" bIns="45720" anchor="ctr">
          <a:spAutoFit/>
        </a:bodyPr>
        <a:lstStyle/>
        <a:p>
          <a:pPr algn="ctr"/>
          <a:r>
            <a:rPr lang="en-US" sz="2400" b="0" cap="none" spc="50" baseline="0">
              <a:ln w="9525" cmpd="sng">
                <a:solidFill>
                  <a:schemeClr val="accent1"/>
                </a:solidFill>
                <a:prstDash val="solid"/>
              </a:ln>
              <a:solidFill>
                <a:srgbClr val="FF0000"/>
              </a:solidFill>
              <a:effectLst>
                <a:glow rad="38100">
                  <a:schemeClr val="accent1">
                    <a:alpha val="40000"/>
                  </a:schemeClr>
                </a:glow>
              </a:effectLst>
            </a:rPr>
            <a:t>AVG Order</a:t>
          </a:r>
          <a:endParaRPr lang="en-US" sz="2400" b="0" cap="none" spc="50">
            <a:ln w="9525" cmpd="sng">
              <a:solidFill>
                <a:schemeClr val="accent1"/>
              </a:solidFill>
              <a:prstDash val="solid"/>
            </a:ln>
            <a:solidFill>
              <a:srgbClr val="FF0000"/>
            </a:solidFill>
            <a:effectLst>
              <a:glow rad="38100">
                <a:schemeClr val="accent1">
                  <a:alpha val="40000"/>
                </a:schemeClr>
              </a:glow>
            </a:effectLst>
          </a:endParaRPr>
        </a:p>
      </xdr:txBody>
    </xdr:sp>
    <xdr:clientData/>
  </xdr:oneCellAnchor>
  <xdr:oneCellAnchor>
    <xdr:from>
      <xdr:col>14</xdr:col>
      <xdr:colOff>383885</xdr:colOff>
      <xdr:row>14</xdr:row>
      <xdr:rowOff>147103</xdr:rowOff>
    </xdr:from>
    <xdr:ext cx="184730" cy="468013"/>
    <xdr:sp macro="" textlink="">
      <xdr:nvSpPr>
        <xdr:cNvPr id="44" name="Rectangle 43">
          <a:extLst>
            <a:ext uri="{FF2B5EF4-FFF2-40B4-BE49-F238E27FC236}">
              <a16:creationId xmlns:a16="http://schemas.microsoft.com/office/drawing/2014/main" id="{6C14CB4E-1462-2B4C-A425-D27B59078534}"/>
            </a:ext>
          </a:extLst>
        </xdr:cNvPr>
        <xdr:cNvSpPr/>
      </xdr:nvSpPr>
      <xdr:spPr>
        <a:xfrm>
          <a:off x="11940885" y="3017303"/>
          <a:ext cx="184730" cy="468013"/>
        </a:xfrm>
        <a:prstGeom prst="rect">
          <a:avLst/>
        </a:prstGeom>
        <a:noFill/>
      </xdr:spPr>
      <xdr:txBody>
        <a:bodyPr wrap="none" lIns="91440" tIns="45720" rIns="91440" bIns="45720">
          <a:spAutoFit/>
        </a:bodyPr>
        <a:lstStyle/>
        <a:p>
          <a:pPr algn="ctr"/>
          <a:endParaRPr lang="en-US" sz="2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19</xdr:col>
      <xdr:colOff>612485</xdr:colOff>
      <xdr:row>11</xdr:row>
      <xdr:rowOff>96303</xdr:rowOff>
    </xdr:from>
    <xdr:ext cx="184730" cy="937693"/>
    <xdr:sp macro="" textlink="">
      <xdr:nvSpPr>
        <xdr:cNvPr id="47" name="Rectangle 46">
          <a:extLst>
            <a:ext uri="{FF2B5EF4-FFF2-40B4-BE49-F238E27FC236}">
              <a16:creationId xmlns:a16="http://schemas.microsoft.com/office/drawing/2014/main" id="{C0C692EC-4156-1448-ADDF-869C5567F9B7}"/>
            </a:ext>
          </a:extLst>
        </xdr:cNvPr>
        <xdr:cNvSpPr/>
      </xdr:nvSpPr>
      <xdr:spPr>
        <a:xfrm>
          <a:off x="12169485" y="2331503"/>
          <a:ext cx="184730" cy="937693"/>
        </a:xfrm>
        <a:prstGeom prst="rect">
          <a:avLst/>
        </a:prstGeom>
        <a:noFill/>
      </xdr:spPr>
      <xdr:txBody>
        <a:bodyPr wrap="none" lIns="91440" tIns="45720" rIns="91440" bIns="45720">
          <a:spAutoFit/>
        </a:bodyPr>
        <a:lstStyle/>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17</xdr:col>
      <xdr:colOff>731012</xdr:colOff>
      <xdr:row>11</xdr:row>
      <xdr:rowOff>165100</xdr:rowOff>
    </xdr:from>
    <xdr:ext cx="184731" cy="530658"/>
    <xdr:sp macro="" textlink="">
      <xdr:nvSpPr>
        <xdr:cNvPr id="48" name="Rectangle 47">
          <a:extLst>
            <a:ext uri="{FF2B5EF4-FFF2-40B4-BE49-F238E27FC236}">
              <a16:creationId xmlns:a16="http://schemas.microsoft.com/office/drawing/2014/main" id="{3C51853C-D86A-CE40-A9B5-E7121D91E38B}"/>
            </a:ext>
          </a:extLst>
        </xdr:cNvPr>
        <xdr:cNvSpPr/>
      </xdr:nvSpPr>
      <xdr:spPr>
        <a:xfrm>
          <a:off x="10637012" y="2400300"/>
          <a:ext cx="184731" cy="530658"/>
        </a:xfrm>
        <a:prstGeom prst="rect">
          <a:avLst/>
        </a:prstGeom>
        <a:noFill/>
      </xdr:spPr>
      <xdr:txBody>
        <a:bodyPr wrap="none" lIns="91440" tIns="45720" rIns="91440" bIns="45720">
          <a:spAutoFit/>
        </a:bodyPr>
        <a:lstStyle/>
        <a:p>
          <a:pPr algn="ctr"/>
          <a:endParaRPr lang="en-US" sz="2800" b="1" cap="none" spc="50">
            <a:ln w="0"/>
            <a:solidFill>
              <a:schemeClr val="tx2">
                <a:lumMod val="50000"/>
                <a:lumOff val="50000"/>
              </a:schemeClr>
            </a:solidFill>
            <a:effectLst>
              <a:innerShdw blurRad="63500" dist="50800" dir="13500000">
                <a:srgbClr val="000000">
                  <a:alpha val="50000"/>
                </a:srgbClr>
              </a:innerShdw>
            </a:effectLst>
          </a:endParaRPr>
        </a:p>
      </xdr:txBody>
    </xdr:sp>
    <xdr:clientData/>
  </xdr:oneCellAnchor>
  <xdr:oneCellAnchor>
    <xdr:from>
      <xdr:col>19</xdr:col>
      <xdr:colOff>101600</xdr:colOff>
      <xdr:row>11</xdr:row>
      <xdr:rowOff>109003</xdr:rowOff>
    </xdr:from>
    <xdr:ext cx="1270432" cy="602197"/>
    <xdr:sp macro="" textlink="">
      <xdr:nvSpPr>
        <xdr:cNvPr id="49" name="Rectangle 48">
          <a:extLst>
            <a:ext uri="{FF2B5EF4-FFF2-40B4-BE49-F238E27FC236}">
              <a16:creationId xmlns:a16="http://schemas.microsoft.com/office/drawing/2014/main" id="{4ED058D7-8385-714D-A82A-6561F3C76D49}"/>
            </a:ext>
          </a:extLst>
        </xdr:cNvPr>
        <xdr:cNvSpPr/>
      </xdr:nvSpPr>
      <xdr:spPr>
        <a:xfrm>
          <a:off x="11658600" y="2344203"/>
          <a:ext cx="1270432" cy="602197"/>
        </a:xfrm>
        <a:prstGeom prst="rect">
          <a:avLst/>
        </a:prstGeom>
        <a:noFill/>
      </xdr:spPr>
      <xdr:txBody>
        <a:bodyPr wrap="none" lIns="91440" tIns="45720" rIns="91440" bIns="45720">
          <a:noAutofit/>
        </a:bodyPr>
        <a:lstStyle/>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17</xdr:col>
      <xdr:colOff>548987</xdr:colOff>
      <xdr:row>12</xdr:row>
      <xdr:rowOff>7403</xdr:rowOff>
    </xdr:from>
    <xdr:ext cx="184730" cy="530658"/>
    <xdr:sp macro="" textlink="">
      <xdr:nvSpPr>
        <xdr:cNvPr id="50" name="Rectangle 49">
          <a:extLst>
            <a:ext uri="{FF2B5EF4-FFF2-40B4-BE49-F238E27FC236}">
              <a16:creationId xmlns:a16="http://schemas.microsoft.com/office/drawing/2014/main" id="{D0F34163-B877-6B4F-93E8-116E12143D97}"/>
            </a:ext>
          </a:extLst>
        </xdr:cNvPr>
        <xdr:cNvSpPr/>
      </xdr:nvSpPr>
      <xdr:spPr>
        <a:xfrm>
          <a:off x="14582487" y="2458503"/>
          <a:ext cx="184730" cy="530658"/>
        </a:xfrm>
        <a:prstGeom prst="rect">
          <a:avLst/>
        </a:prstGeom>
        <a:noFill/>
      </xdr:spPr>
      <xdr:txBody>
        <a:bodyPr wrap="none" lIns="91440" tIns="45720" rIns="91440" bIns="45720">
          <a:spAutoFit/>
        </a:bodyPr>
        <a:lstStyle/>
        <a:p>
          <a:pPr algn="ctr"/>
          <a:endParaRPr lang="en-US" sz="2800" b="1" cap="none" spc="50">
            <a:ln w="0"/>
            <a:solidFill>
              <a:schemeClr val="tx2">
                <a:lumMod val="50000"/>
                <a:lumOff val="50000"/>
              </a:schemeClr>
            </a:solidFill>
            <a:effectLst>
              <a:innerShdw blurRad="63500" dist="50800" dir="13500000">
                <a:srgbClr val="000000">
                  <a:alpha val="50000"/>
                </a:srgbClr>
              </a:innerShdw>
            </a:effectLst>
          </a:endParaRPr>
        </a:p>
      </xdr:txBody>
    </xdr:sp>
    <xdr:clientData/>
  </xdr:oneCellAnchor>
  <xdr:oneCellAnchor>
    <xdr:from>
      <xdr:col>19</xdr:col>
      <xdr:colOff>190068</xdr:colOff>
      <xdr:row>11</xdr:row>
      <xdr:rowOff>96303</xdr:rowOff>
    </xdr:from>
    <xdr:ext cx="864032" cy="538697"/>
    <xdr:sp macro="" textlink="">
      <xdr:nvSpPr>
        <xdr:cNvPr id="51" name="Rectangle 50">
          <a:extLst>
            <a:ext uri="{FF2B5EF4-FFF2-40B4-BE49-F238E27FC236}">
              <a16:creationId xmlns:a16="http://schemas.microsoft.com/office/drawing/2014/main" id="{4AC0B2BC-5396-2D4C-928B-D18909F00DAE}"/>
            </a:ext>
          </a:extLst>
        </xdr:cNvPr>
        <xdr:cNvSpPr/>
      </xdr:nvSpPr>
      <xdr:spPr>
        <a:xfrm>
          <a:off x="11747068" y="2331503"/>
          <a:ext cx="864032" cy="538697"/>
        </a:xfrm>
        <a:prstGeom prst="rect">
          <a:avLst/>
        </a:prstGeom>
        <a:noFill/>
      </xdr:spPr>
      <xdr:txBody>
        <a:bodyPr wrap="square" lIns="91440" tIns="45720" rIns="91440" bIns="45720">
          <a:noAutofit/>
        </a:bodyPr>
        <a:lstStyle/>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18</xdr:col>
      <xdr:colOff>434678</xdr:colOff>
      <xdr:row>12</xdr:row>
      <xdr:rowOff>20102</xdr:rowOff>
    </xdr:from>
    <xdr:ext cx="184731" cy="468013"/>
    <xdr:sp macro="" textlink="">
      <xdr:nvSpPr>
        <xdr:cNvPr id="52" name="Rectangle 51">
          <a:extLst>
            <a:ext uri="{FF2B5EF4-FFF2-40B4-BE49-F238E27FC236}">
              <a16:creationId xmlns:a16="http://schemas.microsoft.com/office/drawing/2014/main" id="{8F1F91DF-6D13-C844-A54D-CBC5D30C1D8F}"/>
            </a:ext>
          </a:extLst>
        </xdr:cNvPr>
        <xdr:cNvSpPr/>
      </xdr:nvSpPr>
      <xdr:spPr>
        <a:xfrm>
          <a:off x="15293678" y="2471202"/>
          <a:ext cx="184731" cy="468013"/>
        </a:xfrm>
        <a:prstGeom prst="rect">
          <a:avLst/>
        </a:prstGeom>
        <a:noFill/>
      </xdr:spPr>
      <xdr:txBody>
        <a:bodyPr wrap="none" lIns="91440" tIns="45720" rIns="91440" bIns="45720" anchor="ctr">
          <a:spAutoFit/>
        </a:bodyPr>
        <a:lstStyle/>
        <a:p>
          <a:pPr algn="ctr"/>
          <a:endParaRPr lang="en-US" sz="2400" b="0"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oneCellAnchor>
  <xdr:oneCellAnchor>
    <xdr:from>
      <xdr:col>19</xdr:col>
      <xdr:colOff>383885</xdr:colOff>
      <xdr:row>14</xdr:row>
      <xdr:rowOff>147103</xdr:rowOff>
    </xdr:from>
    <xdr:ext cx="184730" cy="468013"/>
    <xdr:sp macro="" textlink="">
      <xdr:nvSpPr>
        <xdr:cNvPr id="53" name="Rectangle 52">
          <a:extLst>
            <a:ext uri="{FF2B5EF4-FFF2-40B4-BE49-F238E27FC236}">
              <a16:creationId xmlns:a16="http://schemas.microsoft.com/office/drawing/2014/main" id="{F81040F5-01D7-EB43-88A5-58D70311A01E}"/>
            </a:ext>
          </a:extLst>
        </xdr:cNvPr>
        <xdr:cNvSpPr/>
      </xdr:nvSpPr>
      <xdr:spPr>
        <a:xfrm>
          <a:off x="11940885" y="3017303"/>
          <a:ext cx="184730" cy="468013"/>
        </a:xfrm>
        <a:prstGeom prst="rect">
          <a:avLst/>
        </a:prstGeom>
        <a:noFill/>
      </xdr:spPr>
      <xdr:txBody>
        <a:bodyPr wrap="none" lIns="91440" tIns="45720" rIns="91440" bIns="45720">
          <a:spAutoFit/>
        </a:bodyPr>
        <a:lstStyle/>
        <a:p>
          <a:pPr algn="ctr"/>
          <a:endParaRPr lang="en-US" sz="24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editAs="oneCell">
    <xdr:from>
      <xdr:col>19</xdr:col>
      <xdr:colOff>609600</xdr:colOff>
      <xdr:row>11</xdr:row>
      <xdr:rowOff>88900</xdr:rowOff>
    </xdr:from>
    <xdr:to>
      <xdr:col>19</xdr:col>
      <xdr:colOff>794330</xdr:colOff>
      <xdr:row>15</xdr:row>
      <xdr:rowOff>188393</xdr:rowOff>
    </xdr:to>
    <xdr:sp macro="" textlink="">
      <xdr:nvSpPr>
        <xdr:cNvPr id="55" name="Rectangle 54">
          <a:extLst>
            <a:ext uri="{FF2B5EF4-FFF2-40B4-BE49-F238E27FC236}">
              <a16:creationId xmlns:a16="http://schemas.microsoft.com/office/drawing/2014/main" id="{E225117B-C116-2C03-14D2-5D53598EA77A}"/>
            </a:ext>
          </a:extLst>
        </xdr:cNvPr>
        <xdr:cNvSpPr/>
      </xdr:nvSpPr>
      <xdr:spPr>
        <a:xfrm>
          <a:off x="12169485" y="2331503"/>
          <a:ext cx="184730" cy="937693"/>
        </a:xfrm>
        <a:prstGeom prst="rect">
          <a:avLst/>
        </a:prstGeom>
        <a:noFill/>
      </xdr:spPr>
      <xdr:txBody>
        <a:bodyPr wrap="none" lIns="91440" tIns="45720" rIns="91440" bIns="45720">
          <a:sp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17</xdr:col>
      <xdr:colOff>723900</xdr:colOff>
      <xdr:row>11</xdr:row>
      <xdr:rowOff>165100</xdr:rowOff>
    </xdr:from>
    <xdr:to>
      <xdr:col>18</xdr:col>
      <xdr:colOff>83131</xdr:colOff>
      <xdr:row>14</xdr:row>
      <xdr:rowOff>60758</xdr:rowOff>
    </xdr:to>
    <xdr:sp macro="" textlink="">
      <xdr:nvSpPr>
        <xdr:cNvPr id="56" name="Rectangle 55">
          <a:extLst>
            <a:ext uri="{FF2B5EF4-FFF2-40B4-BE49-F238E27FC236}">
              <a16:creationId xmlns:a16="http://schemas.microsoft.com/office/drawing/2014/main" id="{CCEB931D-882C-A346-B8CA-8BF5FA2B19F9}"/>
            </a:ext>
          </a:extLst>
        </xdr:cNvPr>
        <xdr:cNvSpPr/>
      </xdr:nvSpPr>
      <xdr:spPr>
        <a:xfrm>
          <a:off x="10637012" y="2400300"/>
          <a:ext cx="184731" cy="530658"/>
        </a:xfrm>
        <a:prstGeom prst="rect">
          <a:avLst/>
        </a:prstGeom>
        <a:noFill/>
      </xdr:spPr>
      <xdr:txBody>
        <a:bodyPr wrap="none" lIns="91440" tIns="45720" rIns="91440" bIns="45720">
          <a:sp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endParaRPr lang="en-US" sz="2800" b="1" cap="none" spc="50">
            <a:ln w="0"/>
            <a:solidFill>
              <a:schemeClr val="tx2">
                <a:lumMod val="50000"/>
                <a:lumOff val="50000"/>
              </a:schemeClr>
            </a:solidFill>
            <a:effectLst>
              <a:innerShdw blurRad="63500" dist="50800" dir="13500000">
                <a:srgbClr val="000000">
                  <a:alpha val="50000"/>
                </a:srgbClr>
              </a:innerShdw>
            </a:effectLst>
          </a:endParaRPr>
        </a:p>
      </xdr:txBody>
    </xdr:sp>
    <xdr:clientData/>
  </xdr:twoCellAnchor>
  <xdr:twoCellAnchor editAs="oneCell">
    <xdr:from>
      <xdr:col>19</xdr:col>
      <xdr:colOff>101600</xdr:colOff>
      <xdr:row>11</xdr:row>
      <xdr:rowOff>101600</xdr:rowOff>
    </xdr:from>
    <xdr:to>
      <xdr:col>20</xdr:col>
      <xdr:colOff>546532</xdr:colOff>
      <xdr:row>14</xdr:row>
      <xdr:rowOff>68797</xdr:rowOff>
    </xdr:to>
    <xdr:sp macro="" textlink="">
      <xdr:nvSpPr>
        <xdr:cNvPr id="57" name="Rectangle 56">
          <a:extLst>
            <a:ext uri="{FF2B5EF4-FFF2-40B4-BE49-F238E27FC236}">
              <a16:creationId xmlns:a16="http://schemas.microsoft.com/office/drawing/2014/main" id="{ADD23FCE-39A1-D94D-8614-B0623ED62C5A}"/>
            </a:ext>
          </a:extLst>
        </xdr:cNvPr>
        <xdr:cNvSpPr/>
      </xdr:nvSpPr>
      <xdr:spPr>
        <a:xfrm>
          <a:off x="11658600" y="2344203"/>
          <a:ext cx="1270432" cy="602197"/>
        </a:xfrm>
        <a:prstGeom prst="rect">
          <a:avLst/>
        </a:prstGeom>
        <a:noFill/>
      </xdr:spPr>
      <xdr:txBody>
        <a:bodyPr wrap="none" lIns="91440" tIns="45720" rIns="91440" bIns="4572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17</xdr:col>
      <xdr:colOff>546100</xdr:colOff>
      <xdr:row>12</xdr:row>
      <xdr:rowOff>0</xdr:rowOff>
    </xdr:from>
    <xdr:to>
      <xdr:col>17</xdr:col>
      <xdr:colOff>730831</xdr:colOff>
      <xdr:row>14</xdr:row>
      <xdr:rowOff>111558</xdr:rowOff>
    </xdr:to>
    <xdr:sp macro="" textlink="">
      <xdr:nvSpPr>
        <xdr:cNvPr id="58" name="Rectangle 57">
          <a:extLst>
            <a:ext uri="{FF2B5EF4-FFF2-40B4-BE49-F238E27FC236}">
              <a16:creationId xmlns:a16="http://schemas.microsoft.com/office/drawing/2014/main" id="{25449BDD-76BF-084A-A59A-76B9142E40F0}"/>
            </a:ext>
          </a:extLst>
        </xdr:cNvPr>
        <xdr:cNvSpPr/>
      </xdr:nvSpPr>
      <xdr:spPr>
        <a:xfrm>
          <a:off x="10454987" y="2458503"/>
          <a:ext cx="184731" cy="530658"/>
        </a:xfrm>
        <a:prstGeom prst="rect">
          <a:avLst/>
        </a:prstGeom>
        <a:noFill/>
      </xdr:spPr>
      <xdr:txBody>
        <a:bodyPr wrap="none" lIns="91440" tIns="45720" rIns="91440" bIns="45720">
          <a:sp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endParaRPr lang="en-US" sz="2800" b="1" cap="none" spc="50">
            <a:ln w="0"/>
            <a:solidFill>
              <a:schemeClr val="tx2">
                <a:lumMod val="50000"/>
                <a:lumOff val="50000"/>
              </a:schemeClr>
            </a:solidFill>
            <a:effectLst>
              <a:innerShdw blurRad="63500" dist="50800" dir="13500000">
                <a:srgbClr val="000000">
                  <a:alpha val="50000"/>
                </a:srgbClr>
              </a:innerShdw>
            </a:effectLst>
          </a:endParaRPr>
        </a:p>
      </xdr:txBody>
    </xdr:sp>
    <xdr:clientData/>
  </xdr:twoCellAnchor>
  <xdr:twoCellAnchor editAs="oneCell">
    <xdr:from>
      <xdr:col>19</xdr:col>
      <xdr:colOff>177800</xdr:colOff>
      <xdr:row>11</xdr:row>
      <xdr:rowOff>88900</xdr:rowOff>
    </xdr:from>
    <xdr:to>
      <xdr:col>20</xdr:col>
      <xdr:colOff>216332</xdr:colOff>
      <xdr:row>13</xdr:row>
      <xdr:rowOff>195797</xdr:rowOff>
    </xdr:to>
    <xdr:sp macro="" textlink="">
      <xdr:nvSpPr>
        <xdr:cNvPr id="59" name="Rectangle 58">
          <a:extLst>
            <a:ext uri="{FF2B5EF4-FFF2-40B4-BE49-F238E27FC236}">
              <a16:creationId xmlns:a16="http://schemas.microsoft.com/office/drawing/2014/main" id="{394D971E-BA62-A04F-BC25-747FCF18B46E}"/>
            </a:ext>
          </a:extLst>
        </xdr:cNvPr>
        <xdr:cNvSpPr/>
      </xdr:nvSpPr>
      <xdr:spPr>
        <a:xfrm>
          <a:off x="11747068" y="2331503"/>
          <a:ext cx="864032" cy="538697"/>
        </a:xfrm>
        <a:prstGeom prst="rect">
          <a:avLst/>
        </a:prstGeom>
        <a:noFill/>
      </xdr:spPr>
      <xdr:txBody>
        <a:bodyPr wrap="square" lIns="91440" tIns="45720" rIns="91440" bIns="4572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16</xdr:col>
      <xdr:colOff>822967</xdr:colOff>
      <xdr:row>12</xdr:row>
      <xdr:rowOff>33407</xdr:rowOff>
    </xdr:from>
    <xdr:to>
      <xdr:col>19</xdr:col>
      <xdr:colOff>795916</xdr:colOff>
      <xdr:row>14</xdr:row>
      <xdr:rowOff>15505</xdr:rowOff>
    </xdr:to>
    <xdr:sp macro="" textlink="">
      <xdr:nvSpPr>
        <xdr:cNvPr id="60" name="Rectangle 59">
          <a:extLst>
            <a:ext uri="{FF2B5EF4-FFF2-40B4-BE49-F238E27FC236}">
              <a16:creationId xmlns:a16="http://schemas.microsoft.com/office/drawing/2014/main" id="{F8D024FB-D75A-8944-AC0B-FD9BDDC3FD89}"/>
            </a:ext>
          </a:extLst>
        </xdr:cNvPr>
        <xdr:cNvSpPr/>
      </xdr:nvSpPr>
      <xdr:spPr>
        <a:xfrm>
          <a:off x="14098700" y="2488740"/>
          <a:ext cx="2462149" cy="405432"/>
        </a:xfrm>
        <a:prstGeom prst="rect">
          <a:avLst/>
        </a:prstGeom>
        <a:noFill/>
      </xdr:spPr>
      <xdr:txBody>
        <a:bodyPr wrap="none" lIns="91440" tIns="45720" rIns="91440" bIns="45720" anchor="ctr">
          <a:sp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r>
            <a:rPr lang="en-US" sz="2000" b="0" cap="none" spc="50">
              <a:ln w="9525" cmpd="sng">
                <a:solidFill>
                  <a:schemeClr val="accent1"/>
                </a:solidFill>
                <a:prstDash val="solid"/>
              </a:ln>
              <a:solidFill>
                <a:srgbClr val="FF0000"/>
              </a:solidFill>
              <a:effectLst>
                <a:glow rad="38100">
                  <a:schemeClr val="accent1">
                    <a:alpha val="40000"/>
                  </a:schemeClr>
                </a:glow>
              </a:effectLst>
            </a:rPr>
            <a:t>H</a:t>
          </a:r>
          <a:r>
            <a:rPr lang="en-US" sz="2000" b="0" cap="none" spc="50" baseline="0">
              <a:ln w="9525" cmpd="sng">
                <a:solidFill>
                  <a:schemeClr val="accent1"/>
                </a:solidFill>
                <a:prstDash val="solid"/>
              </a:ln>
              <a:solidFill>
                <a:srgbClr val="FF0000"/>
              </a:solidFill>
              <a:effectLst>
                <a:glow rad="38100">
                  <a:schemeClr val="accent1">
                    <a:alpha val="40000"/>
                  </a:schemeClr>
                </a:glow>
              </a:effectLst>
            </a:rPr>
            <a:t>igehest Selling Year</a:t>
          </a:r>
          <a:endParaRPr lang="en-US" sz="2000" b="0" cap="none" spc="50">
            <a:ln w="9525" cmpd="sng">
              <a:solidFill>
                <a:schemeClr val="accent1"/>
              </a:solidFill>
              <a:prstDash val="solid"/>
            </a:ln>
            <a:solidFill>
              <a:srgbClr val="FF0000"/>
            </a:solidFill>
            <a:effectLst>
              <a:glow rad="38100">
                <a:schemeClr val="accent1">
                  <a:alpha val="40000"/>
                </a:schemeClr>
              </a:glow>
            </a:effectLst>
          </a:endParaRPr>
        </a:p>
      </xdr:txBody>
    </xdr:sp>
    <xdr:clientData/>
  </xdr:twoCellAnchor>
  <xdr:twoCellAnchor editAs="oneCell">
    <xdr:from>
      <xdr:col>19</xdr:col>
      <xdr:colOff>381000</xdr:colOff>
      <xdr:row>14</xdr:row>
      <xdr:rowOff>139700</xdr:rowOff>
    </xdr:from>
    <xdr:to>
      <xdr:col>19</xdr:col>
      <xdr:colOff>565730</xdr:colOff>
      <xdr:row>16</xdr:row>
      <xdr:rowOff>201313</xdr:rowOff>
    </xdr:to>
    <xdr:sp macro="" textlink="">
      <xdr:nvSpPr>
        <xdr:cNvPr id="61" name="Rectangle 60">
          <a:extLst>
            <a:ext uri="{FF2B5EF4-FFF2-40B4-BE49-F238E27FC236}">
              <a16:creationId xmlns:a16="http://schemas.microsoft.com/office/drawing/2014/main" id="{6C14CB4E-1462-2B4C-A425-D27B59078534}"/>
            </a:ext>
          </a:extLst>
        </xdr:cNvPr>
        <xdr:cNvSpPr/>
      </xdr:nvSpPr>
      <xdr:spPr>
        <a:xfrm>
          <a:off x="11940885" y="3017303"/>
          <a:ext cx="184730" cy="468013"/>
        </a:xfrm>
        <a:prstGeom prst="rect">
          <a:avLst/>
        </a:prstGeom>
        <a:noFill/>
      </xdr:spPr>
      <xdr:txBody>
        <a:bodyPr wrap="none" lIns="91440" tIns="45720" rIns="91440" bIns="45720">
          <a:sp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endParaRPr lang="en-US" sz="24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19</xdr:col>
      <xdr:colOff>609600</xdr:colOff>
      <xdr:row>11</xdr:row>
      <xdr:rowOff>88900</xdr:rowOff>
    </xdr:from>
    <xdr:to>
      <xdr:col>19</xdr:col>
      <xdr:colOff>794330</xdr:colOff>
      <xdr:row>15</xdr:row>
      <xdr:rowOff>188393</xdr:rowOff>
    </xdr:to>
    <xdr:sp macro="" textlink="">
      <xdr:nvSpPr>
        <xdr:cNvPr id="62" name="Rectangle 61">
          <a:extLst>
            <a:ext uri="{FF2B5EF4-FFF2-40B4-BE49-F238E27FC236}">
              <a16:creationId xmlns:a16="http://schemas.microsoft.com/office/drawing/2014/main" id="{E225117B-C116-2C03-14D2-5D53598EA77A}"/>
            </a:ext>
          </a:extLst>
        </xdr:cNvPr>
        <xdr:cNvSpPr/>
      </xdr:nvSpPr>
      <xdr:spPr>
        <a:xfrm>
          <a:off x="12169485" y="2331503"/>
          <a:ext cx="184730" cy="937693"/>
        </a:xfrm>
        <a:prstGeom prst="rect">
          <a:avLst/>
        </a:prstGeom>
        <a:noFill/>
      </xdr:spPr>
      <xdr:txBody>
        <a:bodyPr wrap="none" lIns="91440" tIns="45720" rIns="91440" bIns="45720">
          <a:sp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17</xdr:col>
      <xdr:colOff>723900</xdr:colOff>
      <xdr:row>11</xdr:row>
      <xdr:rowOff>165100</xdr:rowOff>
    </xdr:from>
    <xdr:to>
      <xdr:col>18</xdr:col>
      <xdr:colOff>83131</xdr:colOff>
      <xdr:row>14</xdr:row>
      <xdr:rowOff>60758</xdr:rowOff>
    </xdr:to>
    <xdr:sp macro="" textlink="">
      <xdr:nvSpPr>
        <xdr:cNvPr id="63" name="Rectangle 62">
          <a:extLst>
            <a:ext uri="{FF2B5EF4-FFF2-40B4-BE49-F238E27FC236}">
              <a16:creationId xmlns:a16="http://schemas.microsoft.com/office/drawing/2014/main" id="{CCEB931D-882C-A346-B8CA-8BF5FA2B19F9}"/>
            </a:ext>
          </a:extLst>
        </xdr:cNvPr>
        <xdr:cNvSpPr/>
      </xdr:nvSpPr>
      <xdr:spPr>
        <a:xfrm>
          <a:off x="10637012" y="2400300"/>
          <a:ext cx="184731" cy="530658"/>
        </a:xfrm>
        <a:prstGeom prst="rect">
          <a:avLst/>
        </a:prstGeom>
        <a:noFill/>
      </xdr:spPr>
      <xdr:txBody>
        <a:bodyPr wrap="none" lIns="91440" tIns="45720" rIns="91440" bIns="45720">
          <a:sp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endParaRPr lang="en-US" sz="2800" b="1" cap="none" spc="50">
            <a:ln w="0"/>
            <a:solidFill>
              <a:schemeClr val="tx2">
                <a:lumMod val="50000"/>
                <a:lumOff val="50000"/>
              </a:schemeClr>
            </a:solidFill>
            <a:effectLst>
              <a:innerShdw blurRad="63500" dist="50800" dir="13500000">
                <a:srgbClr val="000000">
                  <a:alpha val="50000"/>
                </a:srgbClr>
              </a:innerShdw>
            </a:effectLst>
          </a:endParaRPr>
        </a:p>
      </xdr:txBody>
    </xdr:sp>
    <xdr:clientData/>
  </xdr:twoCellAnchor>
  <xdr:twoCellAnchor editAs="oneCell">
    <xdr:from>
      <xdr:col>19</xdr:col>
      <xdr:colOff>101600</xdr:colOff>
      <xdr:row>11</xdr:row>
      <xdr:rowOff>101600</xdr:rowOff>
    </xdr:from>
    <xdr:to>
      <xdr:col>20</xdr:col>
      <xdr:colOff>546532</xdr:colOff>
      <xdr:row>14</xdr:row>
      <xdr:rowOff>68797</xdr:rowOff>
    </xdr:to>
    <xdr:sp macro="" textlink="">
      <xdr:nvSpPr>
        <xdr:cNvPr id="64" name="Rectangle 63">
          <a:extLst>
            <a:ext uri="{FF2B5EF4-FFF2-40B4-BE49-F238E27FC236}">
              <a16:creationId xmlns:a16="http://schemas.microsoft.com/office/drawing/2014/main" id="{ADD23FCE-39A1-D94D-8614-B0623ED62C5A}"/>
            </a:ext>
          </a:extLst>
        </xdr:cNvPr>
        <xdr:cNvSpPr/>
      </xdr:nvSpPr>
      <xdr:spPr>
        <a:xfrm>
          <a:off x="11658600" y="2344203"/>
          <a:ext cx="1270432" cy="602197"/>
        </a:xfrm>
        <a:prstGeom prst="rect">
          <a:avLst/>
        </a:prstGeom>
        <a:noFill/>
      </xdr:spPr>
      <xdr:txBody>
        <a:bodyPr wrap="none" lIns="91440" tIns="45720" rIns="91440" bIns="4572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17</xdr:col>
      <xdr:colOff>546100</xdr:colOff>
      <xdr:row>12</xdr:row>
      <xdr:rowOff>0</xdr:rowOff>
    </xdr:from>
    <xdr:to>
      <xdr:col>17</xdr:col>
      <xdr:colOff>730831</xdr:colOff>
      <xdr:row>14</xdr:row>
      <xdr:rowOff>111558</xdr:rowOff>
    </xdr:to>
    <xdr:sp macro="" textlink="">
      <xdr:nvSpPr>
        <xdr:cNvPr id="65" name="Rectangle 64">
          <a:extLst>
            <a:ext uri="{FF2B5EF4-FFF2-40B4-BE49-F238E27FC236}">
              <a16:creationId xmlns:a16="http://schemas.microsoft.com/office/drawing/2014/main" id="{25449BDD-76BF-084A-A59A-76B9142E40F0}"/>
            </a:ext>
          </a:extLst>
        </xdr:cNvPr>
        <xdr:cNvSpPr/>
      </xdr:nvSpPr>
      <xdr:spPr>
        <a:xfrm>
          <a:off x="10454987" y="2458503"/>
          <a:ext cx="184731" cy="530658"/>
        </a:xfrm>
        <a:prstGeom prst="rect">
          <a:avLst/>
        </a:prstGeom>
        <a:noFill/>
      </xdr:spPr>
      <xdr:txBody>
        <a:bodyPr wrap="none" lIns="91440" tIns="45720" rIns="91440" bIns="45720">
          <a:sp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endParaRPr lang="en-US" sz="2800" b="1" cap="none" spc="50">
            <a:ln w="0"/>
            <a:solidFill>
              <a:schemeClr val="tx2">
                <a:lumMod val="50000"/>
                <a:lumOff val="50000"/>
              </a:schemeClr>
            </a:solidFill>
            <a:effectLst>
              <a:innerShdw blurRad="63500" dist="50800" dir="13500000">
                <a:srgbClr val="000000">
                  <a:alpha val="50000"/>
                </a:srgbClr>
              </a:innerShdw>
            </a:effectLst>
          </a:endParaRPr>
        </a:p>
      </xdr:txBody>
    </xdr:sp>
    <xdr:clientData/>
  </xdr:twoCellAnchor>
  <xdr:twoCellAnchor editAs="oneCell">
    <xdr:from>
      <xdr:col>19</xdr:col>
      <xdr:colOff>177800</xdr:colOff>
      <xdr:row>11</xdr:row>
      <xdr:rowOff>88900</xdr:rowOff>
    </xdr:from>
    <xdr:to>
      <xdr:col>20</xdr:col>
      <xdr:colOff>216332</xdr:colOff>
      <xdr:row>13</xdr:row>
      <xdr:rowOff>195797</xdr:rowOff>
    </xdr:to>
    <xdr:sp macro="" textlink="">
      <xdr:nvSpPr>
        <xdr:cNvPr id="66" name="Rectangle 65">
          <a:extLst>
            <a:ext uri="{FF2B5EF4-FFF2-40B4-BE49-F238E27FC236}">
              <a16:creationId xmlns:a16="http://schemas.microsoft.com/office/drawing/2014/main" id="{394D971E-BA62-A04F-BC25-747FCF18B46E}"/>
            </a:ext>
          </a:extLst>
        </xdr:cNvPr>
        <xdr:cNvSpPr/>
      </xdr:nvSpPr>
      <xdr:spPr>
        <a:xfrm>
          <a:off x="11747068" y="2331503"/>
          <a:ext cx="864032" cy="538697"/>
        </a:xfrm>
        <a:prstGeom prst="rect">
          <a:avLst/>
        </a:prstGeom>
        <a:noFill/>
      </xdr:spPr>
      <xdr:txBody>
        <a:bodyPr wrap="square" lIns="91440" tIns="45720" rIns="91440" bIns="4572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18</xdr:col>
      <xdr:colOff>431318</xdr:colOff>
      <xdr:row>12</xdr:row>
      <xdr:rowOff>12700</xdr:rowOff>
    </xdr:from>
    <xdr:to>
      <xdr:col>18</xdr:col>
      <xdr:colOff>616049</xdr:colOff>
      <xdr:row>14</xdr:row>
      <xdr:rowOff>61613</xdr:rowOff>
    </xdr:to>
    <xdr:sp macro="" textlink="">
      <xdr:nvSpPr>
        <xdr:cNvPr id="67" name="Rectangle 66">
          <a:extLst>
            <a:ext uri="{FF2B5EF4-FFF2-40B4-BE49-F238E27FC236}">
              <a16:creationId xmlns:a16="http://schemas.microsoft.com/office/drawing/2014/main" id="{F8D024FB-D75A-8944-AC0B-FD9BDDC3FD89}"/>
            </a:ext>
          </a:extLst>
        </xdr:cNvPr>
        <xdr:cNvSpPr/>
      </xdr:nvSpPr>
      <xdr:spPr>
        <a:xfrm>
          <a:off x="15290318" y="2463800"/>
          <a:ext cx="184731" cy="468013"/>
        </a:xfrm>
        <a:prstGeom prst="rect">
          <a:avLst/>
        </a:prstGeom>
        <a:noFill/>
      </xdr:spPr>
      <xdr:txBody>
        <a:bodyPr wrap="none" lIns="91440" tIns="45720" rIns="91440" bIns="45720" anchor="ctr">
          <a:sp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endParaRPr lang="en-US" sz="2400" b="0"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twoCellAnchor>
  <xdr:twoCellAnchor editAs="oneCell">
    <xdr:from>
      <xdr:col>20</xdr:col>
      <xdr:colOff>444500</xdr:colOff>
      <xdr:row>18</xdr:row>
      <xdr:rowOff>165100</xdr:rowOff>
    </xdr:from>
    <xdr:to>
      <xdr:col>20</xdr:col>
      <xdr:colOff>629230</xdr:colOff>
      <xdr:row>21</xdr:row>
      <xdr:rowOff>23513</xdr:rowOff>
    </xdr:to>
    <xdr:sp macro="" textlink="">
      <xdr:nvSpPr>
        <xdr:cNvPr id="68" name="Rectangle 67">
          <a:extLst>
            <a:ext uri="{FF2B5EF4-FFF2-40B4-BE49-F238E27FC236}">
              <a16:creationId xmlns:a16="http://schemas.microsoft.com/office/drawing/2014/main" id="{6C14CB4E-1462-2B4C-A425-D27B59078534}"/>
            </a:ext>
          </a:extLst>
        </xdr:cNvPr>
        <xdr:cNvSpPr/>
      </xdr:nvSpPr>
      <xdr:spPr>
        <a:xfrm>
          <a:off x="16954500" y="3873500"/>
          <a:ext cx="184730" cy="468013"/>
        </a:xfrm>
        <a:prstGeom prst="rect">
          <a:avLst/>
        </a:prstGeom>
        <a:noFill/>
      </xdr:spPr>
      <xdr:txBody>
        <a:bodyPr wrap="none" lIns="91440" tIns="45720" rIns="91440" bIns="45720">
          <a:sp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endParaRPr lang="en-US" sz="2400" b="0" cap="none" spc="0">
            <a:ln w="0"/>
            <a:solidFill>
              <a:schemeClr val="tx1"/>
            </a:solidFill>
            <a:effectLst>
              <a:outerShdw blurRad="38100" dist="19050" dir="2700000" algn="tl" rotWithShape="0">
                <a:schemeClr val="dk1">
                  <a:alpha val="40000"/>
                </a:schemeClr>
              </a:outerShdw>
            </a:effectLst>
          </a:endParaRPr>
        </a:p>
      </xdr:txBody>
    </xdr:sp>
    <xdr:clientData/>
  </xdr:twoCellAnchor>
  <xdr:oneCellAnchor>
    <xdr:from>
      <xdr:col>19</xdr:col>
      <xdr:colOff>12268</xdr:colOff>
      <xdr:row>13</xdr:row>
      <xdr:rowOff>101600</xdr:rowOff>
    </xdr:from>
    <xdr:ext cx="813232" cy="1008639"/>
    <xdr:sp macro="" textlink="">
      <xdr:nvSpPr>
        <xdr:cNvPr id="69" name="Rectangle 68">
          <a:extLst>
            <a:ext uri="{FF2B5EF4-FFF2-40B4-BE49-F238E27FC236}">
              <a16:creationId xmlns:a16="http://schemas.microsoft.com/office/drawing/2014/main" id="{04270729-1B0A-C928-D6C6-A1E771BF583F}"/>
            </a:ext>
          </a:extLst>
        </xdr:cNvPr>
        <xdr:cNvSpPr/>
      </xdr:nvSpPr>
      <xdr:spPr>
        <a:xfrm>
          <a:off x="15696768" y="2768600"/>
          <a:ext cx="813232" cy="1008639"/>
        </a:xfrm>
        <a:prstGeom prst="rect">
          <a:avLst/>
        </a:prstGeom>
        <a:noFill/>
      </xdr:spPr>
      <xdr:txBody>
        <a:bodyPr wrap="square" lIns="91440" tIns="45720" rIns="91440" bIns="45720">
          <a:noAutofit/>
        </a:bodyPr>
        <a:lstStyle/>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editAs="oneCell">
    <xdr:from>
      <xdr:col>10</xdr:col>
      <xdr:colOff>589220</xdr:colOff>
      <xdr:row>28</xdr:row>
      <xdr:rowOff>172484</xdr:rowOff>
    </xdr:from>
    <xdr:to>
      <xdr:col>19</xdr:col>
      <xdr:colOff>301356</xdr:colOff>
      <xdr:row>39</xdr:row>
      <xdr:rowOff>150677</xdr:rowOff>
    </xdr:to>
    <mc:AlternateContent xmlns:mc="http://schemas.openxmlformats.org/markup-compatibility/2006" xmlns:tsle="http://schemas.microsoft.com/office/drawing/2012/timeslicer">
      <mc:Choice Requires="tsle">
        <xdr:graphicFrame macro="">
          <xdr:nvGraphicFramePr>
            <xdr:cNvPr id="70" name="Purchase Date">
              <a:extLst>
                <a:ext uri="{FF2B5EF4-FFF2-40B4-BE49-F238E27FC236}">
                  <a16:creationId xmlns:a16="http://schemas.microsoft.com/office/drawing/2014/main" id="{A37AF9D6-3ADE-A14F-A5A7-68AF902ED566}"/>
                </a:ext>
              </a:extLst>
            </xdr:cNvPr>
            <xdr:cNvGraphicFramePr>
              <a:graphicFrameLocks noChangeAspect="1"/>
            </xdr:cNvGraphicFramePr>
          </xdr:nvGraphicFramePr>
          <xdr:xfrm>
            <a:off x="0" y="0"/>
            <a:ext cx="0" cy="0"/>
          </xdr:xfrm>
          <a:graphic>
            <a:graphicData uri="http://schemas.microsoft.com/office/drawing/2012/timeslicer">
              <tsle:timeslicer name="Purchase Date"/>
            </a:graphicData>
          </a:graphic>
        </xdr:graphicFrame>
      </mc:Choice>
      <mc:Fallback xmlns="">
        <xdr:sp macro="" textlink="">
          <xdr:nvSpPr>
            <xdr:cNvPr id="0" name=""/>
            <xdr:cNvSpPr>
              <a:spLocks noTextEdit="1"/>
            </xdr:cNvSpPr>
          </xdr:nvSpPr>
          <xdr:spPr>
            <a:xfrm>
              <a:off x="8791303" y="6099151"/>
              <a:ext cx="7094011" cy="230652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NISH PATEL" refreshedDate="46081.450938657406" createdVersion="8" refreshedVersion="8" minRefreshableVersion="3" recordCount="149" xr:uid="{EE2C70A6-9830-5C4C-BF3B-8B44A109DE7D}">
  <cacheSource type="worksheet">
    <worksheetSource ref="A1:N150" sheet="ELECTRONIC DATASET"/>
  </cacheSource>
  <cacheFields count="17">
    <cacheField name="Customer ID" numFmtId="0">
      <sharedItems containsSemiMixedTypes="0" containsString="0" containsNumber="1" containsInteger="1" minValue="1" maxValue="150" count="149">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3"/>
        <n v="124"/>
        <n v="125"/>
        <n v="126"/>
        <n v="127"/>
        <n v="128"/>
        <n v="129"/>
        <n v="130"/>
        <n v="131"/>
        <n v="132"/>
        <n v="133"/>
        <n v="134"/>
        <n v="135"/>
        <n v="136"/>
        <n v="137"/>
        <n v="138"/>
        <n v="139"/>
        <n v="140"/>
        <n v="141"/>
        <n v="142"/>
        <n v="143"/>
        <n v="144"/>
        <n v="145"/>
        <n v="146"/>
        <n v="147"/>
        <n v="148"/>
        <n v="149"/>
        <n v="150"/>
      </sharedItems>
    </cacheField>
    <cacheField name="Age" numFmtId="0">
      <sharedItems containsSemiMixedTypes="0" containsString="0" containsNumber="1" containsInteger="1" minValue="18" maxValue="80" count="51">
        <n v="53"/>
        <n v="41"/>
        <n v="75"/>
        <n v="25"/>
        <n v="24"/>
        <n v="35"/>
        <n v="66"/>
        <n v="72"/>
        <n v="42"/>
        <n v="73"/>
        <n v="22"/>
        <n v="61"/>
        <n v="34"/>
        <n v="45"/>
        <n v="57"/>
        <n v="71"/>
        <n v="76"/>
        <n v="49"/>
        <n v="77"/>
        <n v="79"/>
        <n v="69"/>
        <n v="20"/>
        <n v="54"/>
        <n v="32"/>
        <n v="60"/>
        <n v="56"/>
        <n v="65"/>
        <n v="67"/>
        <n v="50"/>
        <n v="30"/>
        <n v="21"/>
        <n v="37"/>
        <n v="62"/>
        <n v="64"/>
        <n v="44"/>
        <n v="27"/>
        <n v="46"/>
        <n v="58"/>
        <n v="26"/>
        <n v="55"/>
        <n v="74"/>
        <n v="31"/>
        <n v="19"/>
        <n v="68"/>
        <n v="63"/>
        <n v="33"/>
        <n v="40"/>
        <n v="80"/>
        <n v="36"/>
        <n v="18"/>
        <n v="23"/>
      </sharedItems>
    </cacheField>
    <cacheField name="Gender" numFmtId="0">
      <sharedItems count="2">
        <s v="Male"/>
        <s v="Female"/>
      </sharedItems>
    </cacheField>
    <cacheField name="Loyalty Member" numFmtId="0">
      <sharedItems/>
    </cacheField>
    <cacheField name="Product Type" numFmtId="0">
      <sharedItems count="4">
        <s v="Smartphone"/>
        <s v="Tablet"/>
        <s v="Laptop"/>
        <s v="Smartwatch"/>
      </sharedItems>
    </cacheField>
    <cacheField name="SKU" numFmtId="0">
      <sharedItems/>
    </cacheField>
    <cacheField name="Rating" numFmtId="0">
      <sharedItems containsSemiMixedTypes="0" containsString="0" containsNumber="1" containsInteger="1" minValue="2" maxValue="5"/>
    </cacheField>
    <cacheField name="Order Status" numFmtId="0">
      <sharedItems count="2">
        <s v="Cancelled"/>
        <s v="Completed"/>
      </sharedItems>
    </cacheField>
    <cacheField name="Payment Method" numFmtId="0">
      <sharedItems count="4">
        <s v="Credit Card"/>
        <s v="Paypal"/>
        <s v="Cash"/>
        <s v="Debit Card"/>
      </sharedItems>
    </cacheField>
    <cacheField name="Total Price" numFmtId="0">
      <sharedItems containsSemiMixedTypes="0" containsString="0" containsNumber="1" minValue="20.75" maxValue="7911.9"/>
    </cacheField>
    <cacheField name="Unit Price" numFmtId="0">
      <sharedItems containsSemiMixedTypes="0" containsString="0" containsNumber="1" minValue="20.75" maxValue="844.83"/>
    </cacheField>
    <cacheField name="Quantity" numFmtId="0">
      <sharedItems containsSemiMixedTypes="0" containsString="0" containsNumber="1" containsInteger="1" minValue="1" maxValue="10"/>
    </cacheField>
    <cacheField name="Purchase Date" numFmtId="14">
      <sharedItems containsSemiMixedTypes="0" containsNonDate="0" containsDate="1" containsString="0" minDate="2023-09-24T00:00:00" maxDate="2024-09-24T00:00:00" count="118">
        <d v="2024-03-20T00:00:00"/>
        <d v="2024-04-20T00:00:00"/>
        <d v="2023-10-17T00:00:00"/>
        <d v="2024-08-09T00:00:00"/>
        <d v="2024-05-21T00:00:00"/>
        <d v="2024-05-26T00:00:00"/>
        <d v="2024-01-30T00:00:00"/>
        <d v="2024-06-24T00:00:00"/>
        <d v="2023-10-03T00:00:00"/>
        <d v="2024-01-01T00:00:00"/>
        <d v="2024-06-25T00:00:00"/>
        <d v="2023-11-07T00:00:00"/>
        <d v="2023-09-25T00:00:00"/>
        <d v="2024-07-07T00:00:00"/>
        <d v="2024-03-18T00:00:00"/>
        <d v="2024-01-02T00:00:00"/>
        <d v="2024-05-18T00:00:00"/>
        <d v="2024-09-02T00:00:00"/>
        <d v="2024-07-23T00:00:00"/>
        <d v="2024-03-14T00:00:00"/>
        <d v="2024-07-21T00:00:00"/>
        <d v="2023-12-02T00:00:00"/>
        <d v="2024-04-27T00:00:00"/>
        <d v="2024-07-10T00:00:00"/>
        <d v="2024-01-29T00:00:00"/>
        <d v="2024-08-28T00:00:00"/>
        <d v="2023-11-28T00:00:00"/>
        <d v="2023-11-30T00:00:00"/>
        <d v="2024-02-27T00:00:00"/>
        <d v="2024-01-21T00:00:00"/>
        <d v="2024-09-03T00:00:00"/>
        <d v="2024-01-12T00:00:00"/>
        <d v="2023-09-24T00:00:00"/>
        <d v="2024-03-25T00:00:00"/>
        <d v="2023-10-12T00:00:00"/>
        <d v="2024-01-28T00:00:00"/>
        <d v="2024-07-08T00:00:00"/>
        <d v="2024-07-29T00:00:00"/>
        <d v="2024-08-17T00:00:00"/>
        <d v="2024-09-23T00:00:00"/>
        <d v="2024-08-31T00:00:00"/>
        <d v="2023-10-16T00:00:00"/>
        <d v="2024-06-26T00:00:00"/>
        <d v="2024-07-16T00:00:00"/>
        <d v="2024-03-05T00:00:00"/>
        <d v="2023-12-11T00:00:00"/>
        <d v="2023-10-28T00:00:00"/>
        <d v="2024-08-03T00:00:00"/>
        <d v="2023-12-20T00:00:00"/>
        <d v="2024-05-08T00:00:00"/>
        <d v="2023-10-22T00:00:00"/>
        <d v="2024-03-28T00:00:00"/>
        <d v="2024-06-12T00:00:00"/>
        <d v="2024-02-22T00:00:00"/>
        <d v="2024-06-27T00:00:00"/>
        <d v="2023-09-28T00:00:00"/>
        <d v="2023-12-07T00:00:00"/>
        <d v="2023-10-25T00:00:00"/>
        <d v="2024-03-23T00:00:00"/>
        <d v="2024-04-25T00:00:00"/>
        <d v="2024-02-28T00:00:00"/>
        <d v="2024-07-13T00:00:00"/>
        <d v="2023-12-30T00:00:00"/>
        <d v="2023-11-29T00:00:00"/>
        <d v="2024-06-17T00:00:00"/>
        <d v="2024-07-11T00:00:00"/>
        <d v="2024-09-12T00:00:00"/>
        <d v="2023-11-06T00:00:00"/>
        <d v="2023-12-26T00:00:00"/>
        <d v="2024-05-14T00:00:00"/>
        <d v="2023-10-24T00:00:00"/>
        <d v="2024-09-15T00:00:00"/>
        <d v="2024-01-03T00:00:00"/>
        <d v="2024-08-18T00:00:00"/>
        <d v="2023-10-11T00:00:00"/>
        <d v="2024-05-02T00:00:00"/>
        <d v="2024-07-01T00:00:00"/>
        <d v="2024-05-04T00:00:00"/>
        <d v="2024-03-22T00:00:00"/>
        <d v="2024-05-07T00:00:00"/>
        <d v="2023-12-13T00:00:00"/>
        <d v="2024-05-15T00:00:00"/>
        <d v="2023-10-09T00:00:00"/>
        <d v="2024-05-31T00:00:00"/>
        <d v="2024-02-29T00:00:00"/>
        <d v="2024-05-19T00:00:00"/>
        <d v="2024-05-23T00:00:00"/>
        <d v="2024-08-06T00:00:00"/>
        <d v="2024-09-20T00:00:00"/>
        <d v="2024-02-15T00:00:00"/>
        <d v="2024-06-19T00:00:00"/>
        <d v="2024-01-31T00:00:00"/>
        <d v="2024-06-04T00:00:00"/>
        <d v="2024-09-10T00:00:00"/>
        <d v="2024-01-10T00:00:00"/>
        <d v="2024-05-20T00:00:00"/>
        <d v="2024-03-06T00:00:00"/>
        <d v="2024-02-25T00:00:00"/>
        <d v="2024-04-09T00:00:00"/>
        <d v="2024-08-12T00:00:00"/>
        <d v="2024-02-12T00:00:00"/>
        <d v="2024-02-26T00:00:00"/>
        <d v="2024-09-05T00:00:00"/>
        <d v="2024-01-08T00:00:00"/>
        <d v="2024-08-24T00:00:00"/>
        <d v="2023-12-06T00:00:00"/>
        <d v="2023-12-09T00:00:00"/>
        <d v="2023-11-04T00:00:00"/>
        <d v="2024-03-27T00:00:00"/>
        <d v="2024-07-06T00:00:00"/>
        <d v="2023-12-01T00:00:00"/>
        <d v="2023-12-22T00:00:00"/>
        <d v="2024-06-10T00:00:00"/>
        <d v="2024-07-22T00:00:00"/>
        <d v="2023-12-14T00:00:00"/>
        <d v="2024-09-21T00:00:00"/>
        <d v="2024-04-14T00:00:00"/>
        <d v="2023-10-26T00:00:00"/>
      </sharedItems>
      <fieldGroup par="16"/>
    </cacheField>
    <cacheField name="Add-on Total" numFmtId="0">
      <sharedItems containsSemiMixedTypes="0" containsString="0" containsNumber="1" minValue="0" maxValue="125.35"/>
    </cacheField>
    <cacheField name="Months (Purchase Date)" numFmtId="0" databaseField="0">
      <fieldGroup base="12">
        <rangePr groupBy="months" startDate="2023-09-24T00:00:00" endDate="2024-09-24T00:00:00"/>
        <groupItems count="14">
          <s v="&lt;9/24/23"/>
          <s v="Jan"/>
          <s v="Feb"/>
          <s v="Mar"/>
          <s v="Apr"/>
          <s v="May"/>
          <s v="Jun"/>
          <s v="Jul"/>
          <s v="Aug"/>
          <s v="Sep"/>
          <s v="Oct"/>
          <s v="Nov"/>
          <s v="Dec"/>
          <s v="&gt;9/24/24"/>
        </groupItems>
      </fieldGroup>
    </cacheField>
    <cacheField name="Quarters (Purchase Date)" numFmtId="0" databaseField="0">
      <fieldGroup base="12">
        <rangePr groupBy="quarters" startDate="2023-09-24T00:00:00" endDate="2024-09-24T00:00:00"/>
        <groupItems count="6">
          <s v="&lt;9/24/23"/>
          <s v="Qtr1"/>
          <s v="Qtr2"/>
          <s v="Qtr3"/>
          <s v="Qtr4"/>
          <s v="&gt;9/24/24"/>
        </groupItems>
      </fieldGroup>
    </cacheField>
    <cacheField name="Years (Purchase Date)" numFmtId="0" databaseField="0">
      <fieldGroup base="12">
        <rangePr groupBy="years" startDate="2023-09-24T00:00:00" endDate="2024-09-24T00:00:00"/>
        <groupItems count="4">
          <s v="&lt;9/24/23"/>
          <s v="2023"/>
          <s v="2024"/>
          <s v="&gt;9/24/24"/>
        </groupItems>
      </fieldGroup>
    </cacheField>
  </cacheFields>
  <extLst>
    <ext xmlns:x14="http://schemas.microsoft.com/office/spreadsheetml/2009/9/main" uri="{725AE2AE-9491-48be-B2B4-4EB974FC3084}">
      <x14:pivotCacheDefinition pivotCacheId="6124471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
  <r>
    <x v="0"/>
    <x v="0"/>
    <x v="0"/>
    <s v="No"/>
    <x v="0"/>
    <s v="SKU1004"/>
    <n v="2"/>
    <x v="0"/>
    <x v="0"/>
    <n v="5538.33"/>
    <n v="791.19"/>
    <n v="7"/>
    <x v="0"/>
    <n v="40.21"/>
  </r>
  <r>
    <x v="1"/>
    <x v="0"/>
    <x v="0"/>
    <s v="No"/>
    <x v="1"/>
    <s v="SKU1002"/>
    <n v="3"/>
    <x v="1"/>
    <x v="1"/>
    <n v="741.09"/>
    <n v="247.03"/>
    <n v="3"/>
    <x v="1"/>
    <n v="26.09"/>
  </r>
  <r>
    <x v="2"/>
    <x v="1"/>
    <x v="0"/>
    <s v="No"/>
    <x v="2"/>
    <s v="SKU1005"/>
    <n v="3"/>
    <x v="1"/>
    <x v="0"/>
    <n v="1855.84"/>
    <n v="463.96"/>
    <n v="4"/>
    <x v="2"/>
    <n v="0"/>
  </r>
  <r>
    <x v="3"/>
    <x v="1"/>
    <x v="0"/>
    <s v="Yes"/>
    <x v="0"/>
    <s v="SKU1004"/>
    <n v="2"/>
    <x v="1"/>
    <x v="2"/>
    <n v="3164.76"/>
    <n v="791.19"/>
    <n v="4"/>
    <x v="3"/>
    <n v="60.16"/>
  </r>
  <r>
    <x v="4"/>
    <x v="2"/>
    <x v="0"/>
    <s v="Yes"/>
    <x v="0"/>
    <s v="SKU1001"/>
    <n v="5"/>
    <x v="1"/>
    <x v="2"/>
    <n v="41.5"/>
    <n v="20.75"/>
    <n v="2"/>
    <x v="4"/>
    <n v="35.56"/>
  </r>
  <r>
    <x v="5"/>
    <x v="1"/>
    <x v="1"/>
    <s v="No"/>
    <x v="0"/>
    <s v="SKU1001"/>
    <n v="5"/>
    <x v="1"/>
    <x v="0"/>
    <n v="83"/>
    <n v="20.75"/>
    <n v="4"/>
    <x v="5"/>
    <n v="65.78"/>
  </r>
  <r>
    <x v="6"/>
    <x v="3"/>
    <x v="1"/>
    <s v="No"/>
    <x v="3"/>
    <s v="SKU1003"/>
    <n v="3"/>
    <x v="1"/>
    <x v="1"/>
    <n v="7603.47"/>
    <n v="844.83"/>
    <n v="9"/>
    <x v="6"/>
    <n v="0"/>
  </r>
  <r>
    <x v="7"/>
    <x v="3"/>
    <x v="1"/>
    <s v="No"/>
    <x v="2"/>
    <s v="SKU1005"/>
    <n v="3"/>
    <x v="1"/>
    <x v="3"/>
    <n v="4175.6400000000003"/>
    <n v="463.96"/>
    <n v="9"/>
    <x v="7"/>
    <n v="75.33"/>
  </r>
  <r>
    <x v="8"/>
    <x v="4"/>
    <x v="0"/>
    <s v="No"/>
    <x v="0"/>
    <s v="SKU1004"/>
    <n v="2"/>
    <x v="0"/>
    <x v="3"/>
    <n v="5538.33"/>
    <n v="791.19"/>
    <n v="7"/>
    <x v="8"/>
    <n v="43.05"/>
  </r>
  <r>
    <x v="9"/>
    <x v="4"/>
    <x v="0"/>
    <s v="Yes"/>
    <x v="2"/>
    <s v="SKU1005"/>
    <n v="3"/>
    <x v="1"/>
    <x v="2"/>
    <n v="4175.6400000000003"/>
    <n v="463.96"/>
    <n v="9"/>
    <x v="9"/>
    <n v="0"/>
  </r>
  <r>
    <x v="10"/>
    <x v="4"/>
    <x v="0"/>
    <s v="Yes"/>
    <x v="1"/>
    <s v="SKU1002"/>
    <n v="3"/>
    <x v="1"/>
    <x v="1"/>
    <n v="2470.3000000000002"/>
    <n v="247.03"/>
    <n v="10"/>
    <x v="10"/>
    <n v="90.38"/>
  </r>
  <r>
    <x v="11"/>
    <x v="5"/>
    <x v="0"/>
    <s v="No"/>
    <x v="0"/>
    <s v="SKU1004"/>
    <n v="2"/>
    <x v="0"/>
    <x v="0"/>
    <n v="7120.71"/>
    <n v="791.19"/>
    <n v="9"/>
    <x v="11"/>
    <n v="55.48"/>
  </r>
  <r>
    <x v="12"/>
    <x v="6"/>
    <x v="1"/>
    <s v="No"/>
    <x v="3"/>
    <s v="SKU1003"/>
    <n v="3"/>
    <x v="1"/>
    <x v="2"/>
    <n v="3379.32"/>
    <n v="844.83"/>
    <n v="4"/>
    <x v="12"/>
    <n v="65.849999999999994"/>
  </r>
  <r>
    <x v="13"/>
    <x v="7"/>
    <x v="0"/>
    <s v="No"/>
    <x v="0"/>
    <s v="SKU1004"/>
    <n v="2"/>
    <x v="1"/>
    <x v="0"/>
    <n v="7911.9"/>
    <n v="791.19"/>
    <n v="10"/>
    <x v="13"/>
    <n v="70.17"/>
  </r>
  <r>
    <x v="14"/>
    <x v="8"/>
    <x v="1"/>
    <s v="No"/>
    <x v="0"/>
    <s v="SKU1004"/>
    <n v="2"/>
    <x v="0"/>
    <x v="1"/>
    <n v="5538.33"/>
    <n v="791.19"/>
    <n v="7"/>
    <x v="14"/>
    <n v="57.81"/>
  </r>
  <r>
    <x v="15"/>
    <x v="9"/>
    <x v="1"/>
    <s v="No"/>
    <x v="3"/>
    <s v="SKU1003"/>
    <n v="3"/>
    <x v="0"/>
    <x v="0"/>
    <n v="5068.9799999999996"/>
    <n v="844.83"/>
    <n v="6"/>
    <x v="15"/>
    <n v="69.31"/>
  </r>
  <r>
    <x v="16"/>
    <x v="9"/>
    <x v="1"/>
    <s v="Yes"/>
    <x v="0"/>
    <s v="SKU1004"/>
    <n v="2"/>
    <x v="1"/>
    <x v="2"/>
    <n v="4747.1400000000003"/>
    <n v="791.19"/>
    <n v="6"/>
    <x v="16"/>
    <n v="8.3000000000000007"/>
  </r>
  <r>
    <x v="17"/>
    <x v="10"/>
    <x v="0"/>
    <s v="No"/>
    <x v="0"/>
    <s v="SKU1001"/>
    <n v="5"/>
    <x v="1"/>
    <x v="1"/>
    <n v="83"/>
    <n v="20.75"/>
    <n v="4"/>
    <x v="17"/>
    <n v="80"/>
  </r>
  <r>
    <x v="18"/>
    <x v="11"/>
    <x v="0"/>
    <s v="Yes"/>
    <x v="0"/>
    <s v="SKU1001"/>
    <n v="5"/>
    <x v="1"/>
    <x v="1"/>
    <n v="103.75"/>
    <n v="20.75"/>
    <n v="5"/>
    <x v="13"/>
    <n v="0"/>
  </r>
  <r>
    <x v="19"/>
    <x v="12"/>
    <x v="0"/>
    <s v="No"/>
    <x v="0"/>
    <s v="SKU1001"/>
    <n v="5"/>
    <x v="1"/>
    <x v="1"/>
    <n v="124.5"/>
    <n v="20.75"/>
    <n v="6"/>
    <x v="18"/>
    <n v="70.39"/>
  </r>
  <r>
    <x v="20"/>
    <x v="13"/>
    <x v="0"/>
    <s v="No"/>
    <x v="0"/>
    <s v="SKU1001"/>
    <n v="5"/>
    <x v="0"/>
    <x v="2"/>
    <n v="83"/>
    <n v="20.75"/>
    <n v="4"/>
    <x v="19"/>
    <n v="0"/>
  </r>
  <r>
    <x v="21"/>
    <x v="13"/>
    <x v="0"/>
    <s v="No"/>
    <x v="1"/>
    <s v="SKU1002"/>
    <n v="3"/>
    <x v="1"/>
    <x v="2"/>
    <n v="988.12"/>
    <n v="247.03"/>
    <n v="4"/>
    <x v="1"/>
    <n v="37.869999999999997"/>
  </r>
  <r>
    <x v="22"/>
    <x v="13"/>
    <x v="0"/>
    <s v="Yes"/>
    <x v="3"/>
    <s v="SKU1003"/>
    <n v="3"/>
    <x v="0"/>
    <x v="1"/>
    <n v="844.83"/>
    <n v="844.83"/>
    <n v="1"/>
    <x v="20"/>
    <n v="49.17"/>
  </r>
  <r>
    <x v="23"/>
    <x v="14"/>
    <x v="1"/>
    <s v="No"/>
    <x v="3"/>
    <s v="SKU1003"/>
    <n v="3"/>
    <x v="0"/>
    <x v="3"/>
    <n v="3379.32"/>
    <n v="844.83"/>
    <n v="4"/>
    <x v="21"/>
    <n v="37.130000000000003"/>
  </r>
  <r>
    <x v="24"/>
    <x v="15"/>
    <x v="1"/>
    <s v="Yes"/>
    <x v="3"/>
    <s v="SKU1003"/>
    <n v="3"/>
    <x v="1"/>
    <x v="2"/>
    <n v="844.83"/>
    <n v="844.83"/>
    <n v="1"/>
    <x v="0"/>
    <n v="49.54"/>
  </r>
  <r>
    <x v="25"/>
    <x v="16"/>
    <x v="1"/>
    <s v="No"/>
    <x v="3"/>
    <s v="SKU1003"/>
    <n v="3"/>
    <x v="0"/>
    <x v="1"/>
    <n v="6758.64"/>
    <n v="844.83"/>
    <n v="8"/>
    <x v="22"/>
    <n v="73.489999999999995"/>
  </r>
  <r>
    <x v="26"/>
    <x v="17"/>
    <x v="1"/>
    <s v="No"/>
    <x v="0"/>
    <s v="SKU1004"/>
    <n v="2"/>
    <x v="1"/>
    <x v="2"/>
    <n v="1582.38"/>
    <n v="791.19"/>
    <n v="2"/>
    <x v="23"/>
    <n v="51.93"/>
  </r>
  <r>
    <x v="27"/>
    <x v="18"/>
    <x v="0"/>
    <s v="No"/>
    <x v="2"/>
    <s v="SKU1005"/>
    <n v="3"/>
    <x v="1"/>
    <x v="3"/>
    <n v="2783.76"/>
    <n v="463.96"/>
    <n v="6"/>
    <x v="24"/>
    <n v="0"/>
  </r>
  <r>
    <x v="28"/>
    <x v="18"/>
    <x v="0"/>
    <s v="No"/>
    <x v="0"/>
    <s v="SKU1001"/>
    <n v="5"/>
    <x v="1"/>
    <x v="2"/>
    <n v="83"/>
    <n v="20.75"/>
    <n v="4"/>
    <x v="25"/>
    <n v="77.78"/>
  </r>
  <r>
    <x v="29"/>
    <x v="10"/>
    <x v="0"/>
    <s v="No"/>
    <x v="0"/>
    <s v="SKU1004"/>
    <n v="2"/>
    <x v="1"/>
    <x v="1"/>
    <n v="4747.1400000000003"/>
    <n v="791.19"/>
    <n v="6"/>
    <x v="26"/>
    <n v="0"/>
  </r>
  <r>
    <x v="30"/>
    <x v="19"/>
    <x v="1"/>
    <s v="No"/>
    <x v="3"/>
    <s v="SKU1003"/>
    <n v="3"/>
    <x v="1"/>
    <x v="3"/>
    <n v="6758.64"/>
    <n v="844.83"/>
    <n v="8"/>
    <x v="27"/>
    <n v="0"/>
  </r>
  <r>
    <x v="31"/>
    <x v="20"/>
    <x v="0"/>
    <s v="No"/>
    <x v="3"/>
    <s v="SKU1003"/>
    <n v="3"/>
    <x v="1"/>
    <x v="3"/>
    <n v="4224.1499999999996"/>
    <n v="844.83"/>
    <n v="5"/>
    <x v="28"/>
    <n v="46.03"/>
  </r>
  <r>
    <x v="32"/>
    <x v="21"/>
    <x v="1"/>
    <s v="No"/>
    <x v="3"/>
    <s v="SKU1003"/>
    <n v="3"/>
    <x v="1"/>
    <x v="3"/>
    <n v="5913.81"/>
    <n v="844.83"/>
    <n v="7"/>
    <x v="29"/>
    <n v="0"/>
  </r>
  <r>
    <x v="33"/>
    <x v="21"/>
    <x v="1"/>
    <s v="No"/>
    <x v="0"/>
    <s v="SKU1001"/>
    <n v="5"/>
    <x v="1"/>
    <x v="3"/>
    <n v="103.75"/>
    <n v="20.75"/>
    <n v="5"/>
    <x v="30"/>
    <n v="17.79"/>
  </r>
  <r>
    <x v="34"/>
    <x v="22"/>
    <x v="1"/>
    <s v="No"/>
    <x v="1"/>
    <s v="SKU1002"/>
    <n v="3"/>
    <x v="1"/>
    <x v="3"/>
    <n v="988.12"/>
    <n v="247.03"/>
    <n v="4"/>
    <x v="27"/>
    <n v="0"/>
  </r>
  <r>
    <x v="35"/>
    <x v="22"/>
    <x v="1"/>
    <s v="No"/>
    <x v="0"/>
    <s v="SKU1004"/>
    <n v="2"/>
    <x v="1"/>
    <x v="3"/>
    <n v="3164.76"/>
    <n v="791.19"/>
    <n v="4"/>
    <x v="31"/>
    <n v="49.24"/>
  </r>
  <r>
    <x v="36"/>
    <x v="23"/>
    <x v="1"/>
    <s v="No"/>
    <x v="0"/>
    <s v="SKU1001"/>
    <n v="5"/>
    <x v="1"/>
    <x v="2"/>
    <n v="186.75"/>
    <n v="20.75"/>
    <n v="9"/>
    <x v="32"/>
    <n v="0"/>
  </r>
  <r>
    <x v="37"/>
    <x v="23"/>
    <x v="1"/>
    <s v="Yes"/>
    <x v="0"/>
    <s v="SKU1001"/>
    <n v="5"/>
    <x v="1"/>
    <x v="2"/>
    <n v="62.25"/>
    <n v="20.75"/>
    <n v="3"/>
    <x v="33"/>
    <n v="33.56"/>
  </r>
  <r>
    <x v="38"/>
    <x v="24"/>
    <x v="0"/>
    <s v="Yes"/>
    <x v="0"/>
    <s v="SKU1004"/>
    <n v="2"/>
    <x v="0"/>
    <x v="3"/>
    <n v="3955.95"/>
    <n v="791.19"/>
    <n v="5"/>
    <x v="34"/>
    <n v="56.62"/>
  </r>
  <r>
    <x v="39"/>
    <x v="24"/>
    <x v="0"/>
    <s v="Yes"/>
    <x v="0"/>
    <s v="SKU1004"/>
    <n v="2"/>
    <x v="0"/>
    <x v="1"/>
    <n v="791.19"/>
    <n v="791.19"/>
    <n v="1"/>
    <x v="35"/>
    <n v="0"/>
  </r>
  <r>
    <x v="40"/>
    <x v="25"/>
    <x v="1"/>
    <s v="No"/>
    <x v="3"/>
    <s v="SKU1003"/>
    <n v="3"/>
    <x v="1"/>
    <x v="1"/>
    <n v="4224.1499999999996"/>
    <n v="844.83"/>
    <n v="5"/>
    <x v="36"/>
    <n v="10"/>
  </r>
  <r>
    <x v="41"/>
    <x v="25"/>
    <x v="1"/>
    <s v="Yes"/>
    <x v="3"/>
    <s v="SKU1003"/>
    <n v="3"/>
    <x v="1"/>
    <x v="2"/>
    <n v="5068.9799999999996"/>
    <n v="844.83"/>
    <n v="6"/>
    <x v="37"/>
    <n v="0"/>
  </r>
  <r>
    <x v="42"/>
    <x v="25"/>
    <x v="1"/>
    <s v="No"/>
    <x v="0"/>
    <s v="SKU1001"/>
    <n v="5"/>
    <x v="1"/>
    <x v="3"/>
    <n v="145.25"/>
    <n v="20.75"/>
    <n v="7"/>
    <x v="38"/>
    <n v="47.94"/>
  </r>
  <r>
    <x v="43"/>
    <x v="25"/>
    <x v="1"/>
    <s v="No"/>
    <x v="0"/>
    <s v="SKU1004"/>
    <n v="2"/>
    <x v="1"/>
    <x v="3"/>
    <n v="5538.33"/>
    <n v="791.19"/>
    <n v="7"/>
    <x v="39"/>
    <n v="26.01"/>
  </r>
  <r>
    <x v="44"/>
    <x v="0"/>
    <x v="1"/>
    <s v="No"/>
    <x v="1"/>
    <s v="SKU1002"/>
    <n v="3"/>
    <x v="1"/>
    <x v="0"/>
    <n v="1729.21"/>
    <n v="247.03"/>
    <n v="7"/>
    <x v="40"/>
    <n v="0"/>
  </r>
  <r>
    <x v="45"/>
    <x v="13"/>
    <x v="1"/>
    <s v="Yes"/>
    <x v="0"/>
    <s v="SKU1004"/>
    <n v="2"/>
    <x v="1"/>
    <x v="0"/>
    <n v="6329.52"/>
    <n v="791.19"/>
    <n v="8"/>
    <x v="41"/>
    <n v="92.79"/>
  </r>
  <r>
    <x v="46"/>
    <x v="26"/>
    <x v="1"/>
    <s v="No"/>
    <x v="0"/>
    <s v="SKU1001"/>
    <n v="5"/>
    <x v="0"/>
    <x v="0"/>
    <n v="145.25"/>
    <n v="20.75"/>
    <n v="7"/>
    <x v="42"/>
    <n v="53.02"/>
  </r>
  <r>
    <x v="47"/>
    <x v="26"/>
    <x v="1"/>
    <s v="No"/>
    <x v="3"/>
    <s v="SKU1003"/>
    <n v="3"/>
    <x v="1"/>
    <x v="2"/>
    <n v="5913.81"/>
    <n v="844.83"/>
    <n v="7"/>
    <x v="43"/>
    <n v="111.25"/>
  </r>
  <r>
    <x v="48"/>
    <x v="16"/>
    <x v="0"/>
    <s v="No"/>
    <x v="0"/>
    <s v="SKU1001"/>
    <n v="5"/>
    <x v="1"/>
    <x v="3"/>
    <n v="207.5"/>
    <n v="20.75"/>
    <n v="10"/>
    <x v="44"/>
    <n v="0"/>
  </r>
  <r>
    <x v="49"/>
    <x v="9"/>
    <x v="0"/>
    <s v="No"/>
    <x v="1"/>
    <s v="SKU1002"/>
    <n v="3"/>
    <x v="1"/>
    <x v="3"/>
    <n v="2470.3000000000002"/>
    <n v="247.03"/>
    <n v="10"/>
    <x v="45"/>
    <n v="63.23"/>
  </r>
  <r>
    <x v="50"/>
    <x v="27"/>
    <x v="1"/>
    <s v="No"/>
    <x v="1"/>
    <s v="SKU1002"/>
    <n v="3"/>
    <x v="0"/>
    <x v="3"/>
    <n v="2470.3000000000002"/>
    <n v="247.03"/>
    <n v="10"/>
    <x v="46"/>
    <n v="0"/>
  </r>
  <r>
    <x v="51"/>
    <x v="28"/>
    <x v="1"/>
    <s v="No"/>
    <x v="0"/>
    <s v="SKU1001"/>
    <n v="5"/>
    <x v="1"/>
    <x v="1"/>
    <n v="145.25"/>
    <n v="20.75"/>
    <n v="7"/>
    <x v="10"/>
    <n v="86.36"/>
  </r>
  <r>
    <x v="52"/>
    <x v="7"/>
    <x v="0"/>
    <s v="No"/>
    <x v="3"/>
    <s v="SKU1003"/>
    <n v="3"/>
    <x v="0"/>
    <x v="2"/>
    <n v="5068.9799999999996"/>
    <n v="844.83"/>
    <n v="6"/>
    <x v="47"/>
    <n v="45.46"/>
  </r>
  <r>
    <x v="53"/>
    <x v="19"/>
    <x v="1"/>
    <s v="No"/>
    <x v="2"/>
    <s v="SKU1005"/>
    <n v="3"/>
    <x v="1"/>
    <x v="3"/>
    <n v="4175.6400000000003"/>
    <n v="463.96"/>
    <n v="9"/>
    <x v="48"/>
    <n v="88.3"/>
  </r>
  <r>
    <x v="54"/>
    <x v="29"/>
    <x v="1"/>
    <s v="Yes"/>
    <x v="0"/>
    <s v="SKU1001"/>
    <n v="5"/>
    <x v="1"/>
    <x v="1"/>
    <n v="62.25"/>
    <n v="20.75"/>
    <n v="3"/>
    <x v="49"/>
    <n v="79.900000000000006"/>
  </r>
  <r>
    <x v="55"/>
    <x v="4"/>
    <x v="1"/>
    <s v="No"/>
    <x v="2"/>
    <s v="SKU1005"/>
    <n v="3"/>
    <x v="1"/>
    <x v="0"/>
    <n v="1855.84"/>
    <n v="463.96"/>
    <n v="4"/>
    <x v="22"/>
    <n v="41.24"/>
  </r>
  <r>
    <x v="56"/>
    <x v="15"/>
    <x v="1"/>
    <s v="No"/>
    <x v="3"/>
    <s v="SKU1003"/>
    <n v="3"/>
    <x v="0"/>
    <x v="1"/>
    <n v="7603.47"/>
    <n v="844.83"/>
    <n v="9"/>
    <x v="50"/>
    <n v="0"/>
  </r>
  <r>
    <x v="57"/>
    <x v="15"/>
    <x v="1"/>
    <s v="No"/>
    <x v="1"/>
    <s v="SKU1002"/>
    <n v="3"/>
    <x v="0"/>
    <x v="3"/>
    <n v="1482.18"/>
    <n v="247.03"/>
    <n v="6"/>
    <x v="51"/>
    <n v="116.77"/>
  </r>
  <r>
    <x v="58"/>
    <x v="30"/>
    <x v="1"/>
    <s v="No"/>
    <x v="0"/>
    <s v="SKU1001"/>
    <n v="5"/>
    <x v="1"/>
    <x v="1"/>
    <n v="166"/>
    <n v="20.75"/>
    <n v="8"/>
    <x v="52"/>
    <n v="92.57"/>
  </r>
  <r>
    <x v="59"/>
    <x v="30"/>
    <x v="1"/>
    <s v="No"/>
    <x v="0"/>
    <s v="SKU1004"/>
    <n v="2"/>
    <x v="0"/>
    <x v="0"/>
    <n v="3955.95"/>
    <n v="791.19"/>
    <n v="5"/>
    <x v="36"/>
    <n v="0"/>
  </r>
  <r>
    <x v="60"/>
    <x v="31"/>
    <x v="0"/>
    <s v="No"/>
    <x v="2"/>
    <s v="SKU1005"/>
    <n v="3"/>
    <x v="1"/>
    <x v="1"/>
    <n v="3247.72"/>
    <n v="463.96"/>
    <n v="7"/>
    <x v="53"/>
    <n v="66.17"/>
  </r>
  <r>
    <x v="61"/>
    <x v="31"/>
    <x v="0"/>
    <s v="No"/>
    <x v="2"/>
    <s v="SKU1005"/>
    <n v="3"/>
    <x v="1"/>
    <x v="3"/>
    <n v="463.96"/>
    <n v="463.96"/>
    <n v="1"/>
    <x v="54"/>
    <n v="5.52"/>
  </r>
  <r>
    <x v="62"/>
    <x v="7"/>
    <x v="0"/>
    <s v="Yes"/>
    <x v="2"/>
    <s v="SKU1005"/>
    <n v="3"/>
    <x v="1"/>
    <x v="0"/>
    <n v="1855.84"/>
    <n v="463.96"/>
    <n v="4"/>
    <x v="55"/>
    <n v="52.01"/>
  </r>
  <r>
    <x v="63"/>
    <x v="7"/>
    <x v="0"/>
    <s v="Yes"/>
    <x v="1"/>
    <s v="SKU1002"/>
    <n v="3"/>
    <x v="1"/>
    <x v="1"/>
    <n v="1482.18"/>
    <n v="247.03"/>
    <n v="6"/>
    <x v="56"/>
    <n v="31.89"/>
  </r>
  <r>
    <x v="64"/>
    <x v="7"/>
    <x v="0"/>
    <s v="No"/>
    <x v="0"/>
    <s v="SKU1004"/>
    <n v="2"/>
    <x v="1"/>
    <x v="1"/>
    <n v="1582.38"/>
    <n v="791.19"/>
    <n v="2"/>
    <x v="24"/>
    <n v="49.59"/>
  </r>
  <r>
    <x v="65"/>
    <x v="25"/>
    <x v="0"/>
    <s v="Yes"/>
    <x v="1"/>
    <s v="SKU1002"/>
    <n v="3"/>
    <x v="1"/>
    <x v="2"/>
    <n v="1976.24"/>
    <n v="247.03"/>
    <n v="8"/>
    <x v="57"/>
    <n v="14.49"/>
  </r>
  <r>
    <x v="66"/>
    <x v="25"/>
    <x v="0"/>
    <s v="No"/>
    <x v="2"/>
    <s v="SKU1005"/>
    <n v="3"/>
    <x v="1"/>
    <x v="1"/>
    <n v="463.96"/>
    <n v="463.96"/>
    <n v="1"/>
    <x v="4"/>
    <n v="83.41"/>
  </r>
  <r>
    <x v="67"/>
    <x v="32"/>
    <x v="0"/>
    <s v="No"/>
    <x v="0"/>
    <s v="SKU1004"/>
    <n v="2"/>
    <x v="1"/>
    <x v="3"/>
    <n v="6329.52"/>
    <n v="791.19"/>
    <n v="8"/>
    <x v="58"/>
    <n v="26.24"/>
  </r>
  <r>
    <x v="68"/>
    <x v="33"/>
    <x v="0"/>
    <s v="Yes"/>
    <x v="2"/>
    <s v="SKU1005"/>
    <n v="3"/>
    <x v="1"/>
    <x v="1"/>
    <n v="1855.84"/>
    <n v="463.96"/>
    <n v="4"/>
    <x v="59"/>
    <n v="0"/>
  </r>
  <r>
    <x v="69"/>
    <x v="33"/>
    <x v="0"/>
    <s v="No"/>
    <x v="0"/>
    <s v="SKU1004"/>
    <n v="2"/>
    <x v="0"/>
    <x v="0"/>
    <n v="2373.5700000000002"/>
    <n v="791.19"/>
    <n v="3"/>
    <x v="36"/>
    <n v="6.47"/>
  </r>
  <r>
    <x v="70"/>
    <x v="34"/>
    <x v="1"/>
    <s v="No"/>
    <x v="0"/>
    <s v="SKU1004"/>
    <n v="2"/>
    <x v="0"/>
    <x v="1"/>
    <n v="2373.5700000000002"/>
    <n v="791.19"/>
    <n v="3"/>
    <x v="60"/>
    <n v="43.16"/>
  </r>
  <r>
    <x v="71"/>
    <x v="34"/>
    <x v="1"/>
    <s v="No"/>
    <x v="0"/>
    <s v="SKU1004"/>
    <n v="2"/>
    <x v="1"/>
    <x v="0"/>
    <n v="2373.5700000000002"/>
    <n v="791.19"/>
    <n v="3"/>
    <x v="61"/>
    <n v="40.68"/>
  </r>
  <r>
    <x v="72"/>
    <x v="17"/>
    <x v="0"/>
    <s v="No"/>
    <x v="1"/>
    <s v="SKU1002"/>
    <n v="3"/>
    <x v="0"/>
    <x v="1"/>
    <n v="1729.21"/>
    <n v="247.03"/>
    <n v="7"/>
    <x v="2"/>
    <n v="0"/>
  </r>
  <r>
    <x v="73"/>
    <x v="17"/>
    <x v="0"/>
    <s v="No"/>
    <x v="3"/>
    <s v="SKU1003"/>
    <n v="3"/>
    <x v="1"/>
    <x v="3"/>
    <n v="1689.66"/>
    <n v="844.83"/>
    <n v="2"/>
    <x v="62"/>
    <n v="81.55"/>
  </r>
  <r>
    <x v="74"/>
    <x v="35"/>
    <x v="0"/>
    <s v="No"/>
    <x v="0"/>
    <s v="SKU1001"/>
    <n v="5"/>
    <x v="1"/>
    <x v="2"/>
    <n v="145.25"/>
    <n v="20.75"/>
    <n v="7"/>
    <x v="4"/>
    <n v="96.61"/>
  </r>
  <r>
    <x v="75"/>
    <x v="29"/>
    <x v="0"/>
    <s v="No"/>
    <x v="0"/>
    <s v="SKU1001"/>
    <n v="5"/>
    <x v="0"/>
    <x v="1"/>
    <n v="62.25"/>
    <n v="20.75"/>
    <n v="3"/>
    <x v="63"/>
    <n v="6.3"/>
  </r>
  <r>
    <x v="76"/>
    <x v="22"/>
    <x v="1"/>
    <s v="No"/>
    <x v="3"/>
    <s v="SKU1003"/>
    <n v="3"/>
    <x v="1"/>
    <x v="3"/>
    <n v="7603.47"/>
    <n v="844.83"/>
    <n v="9"/>
    <x v="64"/>
    <n v="0"/>
  </r>
  <r>
    <x v="77"/>
    <x v="36"/>
    <x v="1"/>
    <s v="No"/>
    <x v="1"/>
    <s v="SKU1002"/>
    <n v="3"/>
    <x v="1"/>
    <x v="2"/>
    <n v="2223.27"/>
    <n v="247.03"/>
    <n v="9"/>
    <x v="65"/>
    <n v="8.66"/>
  </r>
  <r>
    <x v="78"/>
    <x v="36"/>
    <x v="1"/>
    <s v="Yes"/>
    <x v="1"/>
    <s v="SKU1002"/>
    <n v="3"/>
    <x v="1"/>
    <x v="0"/>
    <n v="1976.24"/>
    <n v="247.03"/>
    <n v="8"/>
    <x v="66"/>
    <n v="46.38"/>
  </r>
  <r>
    <x v="79"/>
    <x v="37"/>
    <x v="0"/>
    <s v="No"/>
    <x v="3"/>
    <s v="SKU1003"/>
    <n v="3"/>
    <x v="1"/>
    <x v="2"/>
    <n v="7603.47"/>
    <n v="844.83"/>
    <n v="9"/>
    <x v="67"/>
    <n v="58.95"/>
  </r>
  <r>
    <x v="80"/>
    <x v="38"/>
    <x v="0"/>
    <s v="No"/>
    <x v="0"/>
    <s v="SKU1004"/>
    <n v="2"/>
    <x v="1"/>
    <x v="2"/>
    <n v="2373.5700000000002"/>
    <n v="791.19"/>
    <n v="3"/>
    <x v="68"/>
    <n v="12.28"/>
  </r>
  <r>
    <x v="81"/>
    <x v="38"/>
    <x v="0"/>
    <s v="No"/>
    <x v="1"/>
    <s v="SKU1002"/>
    <n v="3"/>
    <x v="1"/>
    <x v="2"/>
    <n v="1482.18"/>
    <n v="247.03"/>
    <n v="6"/>
    <x v="69"/>
    <n v="12.86"/>
  </r>
  <r>
    <x v="82"/>
    <x v="33"/>
    <x v="0"/>
    <s v="No"/>
    <x v="0"/>
    <s v="SKU1001"/>
    <n v="5"/>
    <x v="1"/>
    <x v="1"/>
    <n v="41.5"/>
    <n v="20.75"/>
    <n v="2"/>
    <x v="70"/>
    <n v="25.61"/>
  </r>
  <r>
    <x v="83"/>
    <x v="33"/>
    <x v="0"/>
    <s v="Yes"/>
    <x v="0"/>
    <s v="SKU1004"/>
    <n v="2"/>
    <x v="1"/>
    <x v="1"/>
    <n v="3164.76"/>
    <n v="791.19"/>
    <n v="4"/>
    <x v="66"/>
    <n v="8.16"/>
  </r>
  <r>
    <x v="84"/>
    <x v="33"/>
    <x v="0"/>
    <s v="No"/>
    <x v="0"/>
    <s v="SKU1004"/>
    <n v="2"/>
    <x v="1"/>
    <x v="3"/>
    <n v="2373.5700000000002"/>
    <n v="791.19"/>
    <n v="3"/>
    <x v="71"/>
    <n v="101.06"/>
  </r>
  <r>
    <x v="85"/>
    <x v="39"/>
    <x v="1"/>
    <s v="No"/>
    <x v="0"/>
    <s v="SKU1004"/>
    <n v="2"/>
    <x v="0"/>
    <x v="1"/>
    <n v="3164.76"/>
    <n v="791.19"/>
    <n v="4"/>
    <x v="72"/>
    <n v="0"/>
  </r>
  <r>
    <x v="86"/>
    <x v="39"/>
    <x v="1"/>
    <s v="No"/>
    <x v="1"/>
    <s v="SKU1002"/>
    <n v="3"/>
    <x v="1"/>
    <x v="0"/>
    <n v="247.03"/>
    <n v="247.03"/>
    <n v="1"/>
    <x v="73"/>
    <n v="16.649999999999999"/>
  </r>
  <r>
    <x v="87"/>
    <x v="4"/>
    <x v="0"/>
    <s v="No"/>
    <x v="3"/>
    <s v="SKU1003"/>
    <n v="3"/>
    <x v="1"/>
    <x v="0"/>
    <n v="3379.32"/>
    <n v="844.83"/>
    <n v="4"/>
    <x v="37"/>
    <n v="0"/>
  </r>
  <r>
    <x v="88"/>
    <x v="40"/>
    <x v="0"/>
    <s v="No"/>
    <x v="0"/>
    <s v="SKU1001"/>
    <n v="5"/>
    <x v="1"/>
    <x v="2"/>
    <n v="20.75"/>
    <n v="20.75"/>
    <n v="1"/>
    <x v="74"/>
    <n v="91.36"/>
  </r>
  <r>
    <x v="89"/>
    <x v="40"/>
    <x v="0"/>
    <s v="No"/>
    <x v="1"/>
    <s v="SKU1002"/>
    <n v="3"/>
    <x v="1"/>
    <x v="2"/>
    <n v="741.09"/>
    <n v="247.03"/>
    <n v="3"/>
    <x v="75"/>
    <n v="10.039999999999999"/>
  </r>
  <r>
    <x v="90"/>
    <x v="16"/>
    <x v="0"/>
    <s v="No"/>
    <x v="0"/>
    <s v="SKU1001"/>
    <n v="5"/>
    <x v="1"/>
    <x v="1"/>
    <n v="166"/>
    <n v="20.75"/>
    <n v="8"/>
    <x v="76"/>
    <n v="25.72"/>
  </r>
  <r>
    <x v="91"/>
    <x v="13"/>
    <x v="0"/>
    <s v="No"/>
    <x v="0"/>
    <s v="SKU1004"/>
    <n v="2"/>
    <x v="1"/>
    <x v="3"/>
    <n v="3955.95"/>
    <n v="791.19"/>
    <n v="5"/>
    <x v="3"/>
    <n v="0"/>
  </r>
  <r>
    <x v="92"/>
    <x v="41"/>
    <x v="0"/>
    <s v="No"/>
    <x v="1"/>
    <s v="SKU1002"/>
    <n v="3"/>
    <x v="0"/>
    <x v="3"/>
    <n v="741.09"/>
    <n v="247.03"/>
    <n v="3"/>
    <x v="77"/>
    <n v="22.88"/>
  </r>
  <r>
    <x v="93"/>
    <x v="10"/>
    <x v="0"/>
    <s v="Yes"/>
    <x v="3"/>
    <s v="SKU1003"/>
    <n v="3"/>
    <x v="0"/>
    <x v="0"/>
    <n v="1689.66"/>
    <n v="844.83"/>
    <n v="2"/>
    <x v="78"/>
    <n v="14.52"/>
  </r>
  <r>
    <x v="94"/>
    <x v="25"/>
    <x v="1"/>
    <s v="No"/>
    <x v="0"/>
    <s v="SKU1004"/>
    <n v="2"/>
    <x v="1"/>
    <x v="0"/>
    <n v="7120.71"/>
    <n v="791.19"/>
    <n v="9"/>
    <x v="22"/>
    <n v="29.11"/>
  </r>
  <r>
    <x v="95"/>
    <x v="26"/>
    <x v="0"/>
    <s v="No"/>
    <x v="0"/>
    <s v="SKU1001"/>
    <n v="5"/>
    <x v="1"/>
    <x v="3"/>
    <n v="20.75"/>
    <n v="20.75"/>
    <n v="1"/>
    <x v="79"/>
    <n v="0"/>
  </r>
  <r>
    <x v="96"/>
    <x v="21"/>
    <x v="1"/>
    <s v="Yes"/>
    <x v="0"/>
    <s v="SKU1001"/>
    <n v="5"/>
    <x v="1"/>
    <x v="1"/>
    <n v="41.5"/>
    <n v="20.75"/>
    <n v="2"/>
    <x v="80"/>
    <n v="27.89"/>
  </r>
  <r>
    <x v="97"/>
    <x v="21"/>
    <x v="1"/>
    <s v="No"/>
    <x v="2"/>
    <s v="SKU1005"/>
    <n v="3"/>
    <x v="1"/>
    <x v="2"/>
    <n v="4639.6000000000004"/>
    <n v="463.96"/>
    <n v="10"/>
    <x v="81"/>
    <n v="85.32"/>
  </r>
  <r>
    <x v="98"/>
    <x v="42"/>
    <x v="0"/>
    <s v="No"/>
    <x v="1"/>
    <s v="SKU1002"/>
    <n v="3"/>
    <x v="1"/>
    <x v="1"/>
    <n v="988.12"/>
    <n v="247.03"/>
    <n v="4"/>
    <x v="33"/>
    <n v="51.12"/>
  </r>
  <r>
    <x v="99"/>
    <x v="43"/>
    <x v="1"/>
    <s v="No"/>
    <x v="0"/>
    <s v="SKU1004"/>
    <n v="2"/>
    <x v="0"/>
    <x v="0"/>
    <n v="1582.38"/>
    <n v="791.19"/>
    <n v="2"/>
    <x v="82"/>
    <n v="100.12"/>
  </r>
  <r>
    <x v="100"/>
    <x v="43"/>
    <x v="1"/>
    <s v="No"/>
    <x v="2"/>
    <s v="SKU1005"/>
    <n v="3"/>
    <x v="0"/>
    <x v="1"/>
    <n v="1391.88"/>
    <n v="463.96"/>
    <n v="3"/>
    <x v="83"/>
    <n v="0"/>
  </r>
  <r>
    <x v="101"/>
    <x v="44"/>
    <x v="1"/>
    <s v="Yes"/>
    <x v="1"/>
    <s v="SKU1002"/>
    <n v="3"/>
    <x v="1"/>
    <x v="0"/>
    <n v="741.09"/>
    <n v="247.03"/>
    <n v="3"/>
    <x v="84"/>
    <n v="35.79"/>
  </r>
  <r>
    <x v="102"/>
    <x v="44"/>
    <x v="1"/>
    <s v="Yes"/>
    <x v="3"/>
    <s v="SKU1003"/>
    <n v="3"/>
    <x v="1"/>
    <x v="0"/>
    <n v="3379.32"/>
    <n v="844.83"/>
    <n v="4"/>
    <x v="85"/>
    <n v="48.78"/>
  </r>
  <r>
    <x v="103"/>
    <x v="45"/>
    <x v="1"/>
    <s v="Yes"/>
    <x v="0"/>
    <s v="SKU1001"/>
    <n v="5"/>
    <x v="1"/>
    <x v="2"/>
    <n v="207.5"/>
    <n v="20.75"/>
    <n v="10"/>
    <x v="82"/>
    <n v="88.38"/>
  </r>
  <r>
    <x v="104"/>
    <x v="45"/>
    <x v="1"/>
    <s v="No"/>
    <x v="0"/>
    <s v="SKU1004"/>
    <n v="2"/>
    <x v="0"/>
    <x v="0"/>
    <n v="791.19"/>
    <n v="791.19"/>
    <n v="1"/>
    <x v="57"/>
    <n v="32.35"/>
  </r>
  <r>
    <x v="105"/>
    <x v="45"/>
    <x v="1"/>
    <s v="No"/>
    <x v="0"/>
    <s v="SKU1001"/>
    <n v="5"/>
    <x v="1"/>
    <x v="2"/>
    <n v="41.5"/>
    <n v="20.75"/>
    <n v="2"/>
    <x v="86"/>
    <n v="125.35"/>
  </r>
  <r>
    <x v="106"/>
    <x v="45"/>
    <x v="1"/>
    <s v="No"/>
    <x v="0"/>
    <s v="SKU1001"/>
    <n v="5"/>
    <x v="1"/>
    <x v="1"/>
    <n v="62.25"/>
    <n v="20.75"/>
    <n v="3"/>
    <x v="18"/>
    <n v="77.61"/>
  </r>
  <r>
    <x v="107"/>
    <x v="39"/>
    <x v="0"/>
    <s v="No"/>
    <x v="0"/>
    <s v="SKU1001"/>
    <n v="5"/>
    <x v="0"/>
    <x v="1"/>
    <n v="166"/>
    <n v="20.75"/>
    <n v="8"/>
    <x v="87"/>
    <n v="0"/>
  </r>
  <r>
    <x v="108"/>
    <x v="8"/>
    <x v="1"/>
    <s v="No"/>
    <x v="1"/>
    <s v="SKU1002"/>
    <n v="3"/>
    <x v="1"/>
    <x v="3"/>
    <n v="1482.18"/>
    <n v="247.03"/>
    <n v="6"/>
    <x v="88"/>
    <n v="102"/>
  </r>
  <r>
    <x v="109"/>
    <x v="31"/>
    <x v="1"/>
    <s v="No"/>
    <x v="2"/>
    <s v="SKU1005"/>
    <n v="3"/>
    <x v="0"/>
    <x v="3"/>
    <n v="1855.84"/>
    <n v="463.96"/>
    <n v="4"/>
    <x v="33"/>
    <n v="104.93"/>
  </r>
  <r>
    <x v="110"/>
    <x v="31"/>
    <x v="1"/>
    <s v="Yes"/>
    <x v="0"/>
    <s v="SKU1001"/>
    <n v="5"/>
    <x v="1"/>
    <x v="3"/>
    <n v="186.75"/>
    <n v="20.75"/>
    <n v="9"/>
    <x v="61"/>
    <n v="42.66"/>
  </r>
  <r>
    <x v="111"/>
    <x v="16"/>
    <x v="0"/>
    <s v="No"/>
    <x v="0"/>
    <s v="SKU1001"/>
    <n v="5"/>
    <x v="1"/>
    <x v="0"/>
    <n v="207.5"/>
    <n v="20.75"/>
    <n v="10"/>
    <x v="65"/>
    <n v="0"/>
  </r>
  <r>
    <x v="112"/>
    <x v="37"/>
    <x v="1"/>
    <s v="No"/>
    <x v="1"/>
    <s v="SKU1002"/>
    <n v="3"/>
    <x v="1"/>
    <x v="1"/>
    <n v="2223.27"/>
    <n v="247.03"/>
    <n v="9"/>
    <x v="89"/>
    <n v="63.79"/>
  </r>
  <r>
    <x v="113"/>
    <x v="37"/>
    <x v="1"/>
    <s v="No"/>
    <x v="1"/>
    <s v="SKU1002"/>
    <n v="3"/>
    <x v="1"/>
    <x v="1"/>
    <n v="2223.27"/>
    <n v="247.03"/>
    <n v="9"/>
    <x v="90"/>
    <n v="48.57"/>
  </r>
  <r>
    <x v="114"/>
    <x v="3"/>
    <x v="1"/>
    <s v="No"/>
    <x v="0"/>
    <s v="SKU1004"/>
    <n v="2"/>
    <x v="1"/>
    <x v="1"/>
    <n v="4747.1400000000003"/>
    <n v="791.19"/>
    <n v="6"/>
    <x v="91"/>
    <n v="71.97"/>
  </r>
  <r>
    <x v="115"/>
    <x v="41"/>
    <x v="1"/>
    <s v="No"/>
    <x v="0"/>
    <s v="SKU1004"/>
    <n v="2"/>
    <x v="0"/>
    <x v="2"/>
    <n v="791.19"/>
    <n v="791.19"/>
    <n v="1"/>
    <x v="62"/>
    <n v="53.95"/>
  </r>
  <r>
    <x v="116"/>
    <x v="41"/>
    <x v="1"/>
    <s v="Yes"/>
    <x v="3"/>
    <s v="SKU1003"/>
    <n v="3"/>
    <x v="1"/>
    <x v="1"/>
    <n v="844.83"/>
    <n v="844.83"/>
    <n v="1"/>
    <x v="92"/>
    <n v="0"/>
  </r>
  <r>
    <x v="117"/>
    <x v="41"/>
    <x v="1"/>
    <s v="No"/>
    <x v="1"/>
    <s v="SKU1002"/>
    <n v="3"/>
    <x v="1"/>
    <x v="3"/>
    <n v="247.03"/>
    <n v="247.03"/>
    <n v="1"/>
    <x v="93"/>
    <n v="0"/>
  </r>
  <r>
    <x v="118"/>
    <x v="39"/>
    <x v="1"/>
    <s v="No"/>
    <x v="2"/>
    <s v="SKU1005"/>
    <n v="3"/>
    <x v="0"/>
    <x v="1"/>
    <n v="4175.6400000000003"/>
    <n v="463.96"/>
    <n v="9"/>
    <x v="94"/>
    <n v="15.85"/>
  </r>
  <r>
    <x v="119"/>
    <x v="39"/>
    <x v="1"/>
    <s v="No"/>
    <x v="2"/>
    <s v="SKU1005"/>
    <n v="3"/>
    <x v="1"/>
    <x v="2"/>
    <n v="4175.6400000000003"/>
    <n v="463.96"/>
    <n v="9"/>
    <x v="95"/>
    <n v="0"/>
  </r>
  <r>
    <x v="120"/>
    <x v="12"/>
    <x v="1"/>
    <s v="No"/>
    <x v="3"/>
    <s v="SKU1003"/>
    <n v="3"/>
    <x v="1"/>
    <x v="3"/>
    <n v="1689.66"/>
    <n v="844.83"/>
    <n v="2"/>
    <x v="96"/>
    <n v="48.25"/>
  </r>
  <r>
    <x v="121"/>
    <x v="4"/>
    <x v="0"/>
    <s v="No"/>
    <x v="1"/>
    <s v="SKU1002"/>
    <n v="3"/>
    <x v="1"/>
    <x v="0"/>
    <n v="1482.18"/>
    <n v="247.03"/>
    <n v="6"/>
    <x v="31"/>
    <n v="65.34"/>
  </r>
  <r>
    <x v="122"/>
    <x v="46"/>
    <x v="1"/>
    <s v="Yes"/>
    <x v="0"/>
    <s v="SKU1001"/>
    <n v="5"/>
    <x v="1"/>
    <x v="3"/>
    <n v="186.75"/>
    <n v="20.75"/>
    <n v="9"/>
    <x v="80"/>
    <n v="48.52"/>
  </r>
  <r>
    <x v="123"/>
    <x v="46"/>
    <x v="1"/>
    <s v="No"/>
    <x v="0"/>
    <s v="SKU1001"/>
    <n v="5"/>
    <x v="0"/>
    <x v="0"/>
    <n v="103.75"/>
    <n v="20.75"/>
    <n v="5"/>
    <x v="97"/>
    <n v="0"/>
  </r>
  <r>
    <x v="124"/>
    <x v="20"/>
    <x v="0"/>
    <s v="Yes"/>
    <x v="0"/>
    <s v="SKU1004"/>
    <n v="2"/>
    <x v="0"/>
    <x v="1"/>
    <n v="5538.33"/>
    <n v="791.19"/>
    <n v="7"/>
    <x v="71"/>
    <n v="0"/>
  </r>
  <r>
    <x v="125"/>
    <x v="19"/>
    <x v="0"/>
    <s v="Yes"/>
    <x v="3"/>
    <s v="SKU1003"/>
    <n v="3"/>
    <x v="0"/>
    <x v="0"/>
    <n v="6758.64"/>
    <n v="844.83"/>
    <n v="8"/>
    <x v="98"/>
    <n v="54.15"/>
  </r>
  <r>
    <x v="126"/>
    <x v="19"/>
    <x v="0"/>
    <s v="Yes"/>
    <x v="0"/>
    <s v="SKU1004"/>
    <n v="2"/>
    <x v="1"/>
    <x v="3"/>
    <n v="791.19"/>
    <n v="791.19"/>
    <n v="1"/>
    <x v="99"/>
    <n v="5.86"/>
  </r>
  <r>
    <x v="127"/>
    <x v="4"/>
    <x v="1"/>
    <s v="No"/>
    <x v="2"/>
    <s v="SKU1005"/>
    <n v="3"/>
    <x v="1"/>
    <x v="0"/>
    <n v="1855.84"/>
    <n v="463.96"/>
    <n v="4"/>
    <x v="100"/>
    <n v="0"/>
  </r>
  <r>
    <x v="128"/>
    <x v="4"/>
    <x v="1"/>
    <s v="Yes"/>
    <x v="2"/>
    <s v="SKU1005"/>
    <n v="3"/>
    <x v="1"/>
    <x v="3"/>
    <n v="3711.68"/>
    <n v="463.96"/>
    <n v="8"/>
    <x v="101"/>
    <n v="85.04"/>
  </r>
  <r>
    <x v="129"/>
    <x v="4"/>
    <x v="1"/>
    <s v="No"/>
    <x v="0"/>
    <s v="SKU1004"/>
    <n v="2"/>
    <x v="1"/>
    <x v="1"/>
    <n v="3164.76"/>
    <n v="791.19"/>
    <n v="4"/>
    <x v="102"/>
    <n v="104.82"/>
  </r>
  <r>
    <x v="130"/>
    <x v="36"/>
    <x v="0"/>
    <s v="No"/>
    <x v="3"/>
    <s v="SKU1003"/>
    <n v="3"/>
    <x v="1"/>
    <x v="3"/>
    <n v="5913.81"/>
    <n v="844.83"/>
    <n v="7"/>
    <x v="103"/>
    <n v="0"/>
  </r>
  <r>
    <x v="131"/>
    <x v="36"/>
    <x v="0"/>
    <s v="No"/>
    <x v="2"/>
    <s v="SKU1005"/>
    <n v="3"/>
    <x v="1"/>
    <x v="2"/>
    <n v="3711.68"/>
    <n v="463.96"/>
    <n v="8"/>
    <x v="104"/>
    <n v="67.209999999999994"/>
  </r>
  <r>
    <x v="132"/>
    <x v="47"/>
    <x v="0"/>
    <s v="No"/>
    <x v="3"/>
    <s v="SKU1003"/>
    <n v="3"/>
    <x v="1"/>
    <x v="1"/>
    <n v="6758.64"/>
    <n v="844.83"/>
    <n v="8"/>
    <x v="105"/>
    <n v="65.02"/>
  </r>
  <r>
    <x v="133"/>
    <x v="47"/>
    <x v="0"/>
    <s v="No"/>
    <x v="0"/>
    <s v="SKU1001"/>
    <n v="5"/>
    <x v="0"/>
    <x v="1"/>
    <n v="166"/>
    <n v="20.75"/>
    <n v="8"/>
    <x v="78"/>
    <n v="63.03"/>
  </r>
  <r>
    <x v="134"/>
    <x v="48"/>
    <x v="1"/>
    <s v="Yes"/>
    <x v="0"/>
    <s v="SKU1001"/>
    <n v="5"/>
    <x v="0"/>
    <x v="2"/>
    <n v="20.75"/>
    <n v="20.75"/>
    <n v="1"/>
    <x v="106"/>
    <n v="0"/>
  </r>
  <r>
    <x v="135"/>
    <x v="2"/>
    <x v="1"/>
    <s v="Yes"/>
    <x v="0"/>
    <s v="SKU1004"/>
    <n v="2"/>
    <x v="1"/>
    <x v="3"/>
    <n v="4747.1400000000003"/>
    <n v="791.19"/>
    <n v="6"/>
    <x v="107"/>
    <n v="46.92"/>
  </r>
  <r>
    <x v="136"/>
    <x v="49"/>
    <x v="1"/>
    <s v="Yes"/>
    <x v="0"/>
    <s v="SKU1001"/>
    <n v="5"/>
    <x v="1"/>
    <x v="2"/>
    <n v="124.5"/>
    <n v="20.75"/>
    <n v="6"/>
    <x v="75"/>
    <n v="48.93"/>
  </r>
  <r>
    <x v="137"/>
    <x v="3"/>
    <x v="0"/>
    <s v="No"/>
    <x v="2"/>
    <s v="SKU1005"/>
    <n v="3"/>
    <x v="1"/>
    <x v="2"/>
    <n v="1391.88"/>
    <n v="463.96"/>
    <n v="3"/>
    <x v="108"/>
    <n v="39.14"/>
  </r>
  <r>
    <x v="138"/>
    <x v="3"/>
    <x v="0"/>
    <s v="Yes"/>
    <x v="3"/>
    <s v="SKU1003"/>
    <n v="3"/>
    <x v="1"/>
    <x v="3"/>
    <n v="6758.64"/>
    <n v="844.83"/>
    <n v="8"/>
    <x v="109"/>
    <n v="81.34"/>
  </r>
  <r>
    <x v="139"/>
    <x v="50"/>
    <x v="0"/>
    <s v="Yes"/>
    <x v="0"/>
    <s v="SKU1004"/>
    <n v="2"/>
    <x v="1"/>
    <x v="1"/>
    <n v="6329.52"/>
    <n v="791.19"/>
    <n v="8"/>
    <x v="110"/>
    <n v="68.66"/>
  </r>
  <r>
    <x v="140"/>
    <x v="50"/>
    <x v="0"/>
    <s v="No"/>
    <x v="2"/>
    <s v="SKU1005"/>
    <n v="3"/>
    <x v="1"/>
    <x v="3"/>
    <n v="927.92"/>
    <n v="463.96"/>
    <n v="2"/>
    <x v="111"/>
    <n v="43.76"/>
  </r>
  <r>
    <x v="141"/>
    <x v="50"/>
    <x v="0"/>
    <s v="No"/>
    <x v="2"/>
    <s v="SKU1005"/>
    <n v="3"/>
    <x v="0"/>
    <x v="3"/>
    <n v="3711.68"/>
    <n v="463.96"/>
    <n v="8"/>
    <x v="112"/>
    <n v="102.64"/>
  </r>
  <r>
    <x v="142"/>
    <x v="50"/>
    <x v="0"/>
    <s v="No"/>
    <x v="0"/>
    <s v="SKU1004"/>
    <n v="2"/>
    <x v="1"/>
    <x v="1"/>
    <n v="7120.71"/>
    <n v="791.19"/>
    <n v="9"/>
    <x v="113"/>
    <n v="0"/>
  </r>
  <r>
    <x v="143"/>
    <x v="21"/>
    <x v="1"/>
    <s v="No"/>
    <x v="3"/>
    <s v="SKU1003"/>
    <n v="3"/>
    <x v="1"/>
    <x v="0"/>
    <n v="844.83"/>
    <n v="844.83"/>
    <n v="1"/>
    <x v="114"/>
    <n v="41.06"/>
  </r>
  <r>
    <x v="144"/>
    <x v="25"/>
    <x v="1"/>
    <s v="No"/>
    <x v="0"/>
    <s v="SKU1004"/>
    <n v="2"/>
    <x v="0"/>
    <x v="3"/>
    <n v="6329.52"/>
    <n v="791.19"/>
    <n v="8"/>
    <x v="115"/>
    <n v="46.71"/>
  </r>
  <r>
    <x v="145"/>
    <x v="11"/>
    <x v="0"/>
    <s v="No"/>
    <x v="0"/>
    <s v="SKU1001"/>
    <n v="5"/>
    <x v="1"/>
    <x v="1"/>
    <n v="20.75"/>
    <n v="20.75"/>
    <n v="1"/>
    <x v="21"/>
    <n v="11.92"/>
  </r>
  <r>
    <x v="146"/>
    <x v="11"/>
    <x v="0"/>
    <s v="No"/>
    <x v="2"/>
    <s v="SKU1005"/>
    <n v="3"/>
    <x v="1"/>
    <x v="0"/>
    <n v="1391.88"/>
    <n v="463.96"/>
    <n v="3"/>
    <x v="62"/>
    <n v="42.12"/>
  </r>
  <r>
    <x v="147"/>
    <x v="11"/>
    <x v="0"/>
    <s v="No"/>
    <x v="2"/>
    <s v="SKU1005"/>
    <n v="3"/>
    <x v="1"/>
    <x v="3"/>
    <n v="3711.68"/>
    <n v="463.96"/>
    <n v="8"/>
    <x v="116"/>
    <n v="60.23"/>
  </r>
  <r>
    <x v="148"/>
    <x v="44"/>
    <x v="1"/>
    <s v="No"/>
    <x v="2"/>
    <s v="SKU1005"/>
    <n v="3"/>
    <x v="1"/>
    <x v="2"/>
    <n v="4175.6400000000003"/>
    <n v="463.96"/>
    <n v="9"/>
    <x v="117"/>
    <n v="33.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5EFCDB-F8B2-B64D-BD08-99BE4D33D223}" name="Order Status"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rowHeaderCaption="Order Status">
  <location ref="E5:F8" firstHeaderRow="1" firstDataRow="1" firstDataCol="1"/>
  <pivotFields count="17">
    <pivotField dataField="1" showAll="0"/>
    <pivotField showAll="0"/>
    <pivotField showAll="0"/>
    <pivotField showAll="0"/>
    <pivotField showAll="0">
      <items count="5">
        <item x="2"/>
        <item x="0"/>
        <item x="3"/>
        <item x="1"/>
        <item t="default"/>
      </items>
    </pivotField>
    <pivotField showAll="0"/>
    <pivotField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items count="5">
        <item x="2"/>
        <item x="0"/>
        <item x="3"/>
        <item x="1"/>
        <item t="default"/>
      </items>
    </pivotField>
    <pivotField showAll="0"/>
    <pivotField showAll="0"/>
    <pivotField showAll="0"/>
    <pivotField numFmtId="14" showAll="0">
      <items count="119">
        <item x="32"/>
        <item x="12"/>
        <item x="55"/>
        <item x="8"/>
        <item x="82"/>
        <item x="74"/>
        <item x="34"/>
        <item x="41"/>
        <item x="2"/>
        <item x="50"/>
        <item x="70"/>
        <item x="57"/>
        <item x="117"/>
        <item x="46"/>
        <item x="107"/>
        <item x="67"/>
        <item x="11"/>
        <item x="26"/>
        <item x="63"/>
        <item x="27"/>
        <item x="110"/>
        <item x="21"/>
        <item x="105"/>
        <item x="56"/>
        <item x="106"/>
        <item x="45"/>
        <item x="80"/>
        <item x="114"/>
        <item x="48"/>
        <item x="111"/>
        <item x="68"/>
        <item x="62"/>
        <item x="9"/>
        <item x="15"/>
        <item x="72"/>
        <item x="103"/>
        <item x="94"/>
        <item x="31"/>
        <item x="29"/>
        <item x="35"/>
        <item x="24"/>
        <item x="6"/>
        <item x="91"/>
        <item x="100"/>
        <item x="89"/>
        <item x="53"/>
        <item x="97"/>
        <item x="101"/>
        <item x="28"/>
        <item x="60"/>
        <item x="84"/>
        <item x="44"/>
        <item x="96"/>
        <item x="19"/>
        <item x="14"/>
        <item x="0"/>
        <item x="78"/>
        <item x="58"/>
        <item x="33"/>
        <item x="108"/>
        <item x="51"/>
        <item x="98"/>
        <item x="116"/>
        <item x="1"/>
        <item x="59"/>
        <item x="22"/>
        <item x="75"/>
        <item x="77"/>
        <item x="79"/>
        <item x="49"/>
        <item x="69"/>
        <item x="81"/>
        <item x="16"/>
        <item x="85"/>
        <item x="95"/>
        <item x="4"/>
        <item x="86"/>
        <item x="5"/>
        <item x="83"/>
        <item x="92"/>
        <item x="112"/>
        <item x="52"/>
        <item x="64"/>
        <item x="90"/>
        <item x="7"/>
        <item x="10"/>
        <item x="42"/>
        <item x="54"/>
        <item x="76"/>
        <item x="109"/>
        <item x="13"/>
        <item x="36"/>
        <item x="23"/>
        <item x="65"/>
        <item x="61"/>
        <item x="43"/>
        <item x="20"/>
        <item x="113"/>
        <item x="18"/>
        <item x="37"/>
        <item x="47"/>
        <item x="87"/>
        <item x="3"/>
        <item x="99"/>
        <item x="38"/>
        <item x="73"/>
        <item x="104"/>
        <item x="25"/>
        <item x="40"/>
        <item x="17"/>
        <item x="30"/>
        <item x="102"/>
        <item x="93"/>
        <item x="66"/>
        <item x="71"/>
        <item x="88"/>
        <item x="115"/>
        <item x="39"/>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3">
    <i>
      <x v="1"/>
    </i>
    <i>
      <x/>
    </i>
    <i t="grand">
      <x/>
    </i>
  </rowItems>
  <colItems count="1">
    <i/>
  </colItems>
  <dataFields count="1">
    <dataField name="Sum of Customer ID" fld="0" baseField="0" baseItem="0" numFmtId="44"/>
  </dataFields>
  <formats count="8">
    <format dxfId="18">
      <pivotArea collapsedLevelsAreSubtotals="1" fieldPosition="0">
        <references count="1">
          <reference field="7" count="0"/>
        </references>
      </pivotArea>
    </format>
    <format dxfId="17">
      <pivotArea outline="0" collapsedLevelsAreSubtotals="1" fieldPosition="0"/>
    </format>
    <format dxfId="16">
      <pivotArea type="all" dataOnly="0" outline="0" fieldPosition="0"/>
    </format>
    <format dxfId="15">
      <pivotArea outline="0" collapsedLevelsAreSubtotals="1" fieldPosition="0"/>
    </format>
    <format dxfId="14">
      <pivotArea field="7" type="button" dataOnly="0" labelOnly="1" outline="0" axis="axisRow" fieldPosition="0"/>
    </format>
    <format dxfId="13">
      <pivotArea dataOnly="0" labelOnly="1" fieldPosition="0">
        <references count="1">
          <reference field="7" count="0"/>
        </references>
      </pivotArea>
    </format>
    <format dxfId="12">
      <pivotArea dataOnly="0" labelOnly="1" grandRow="1" outline="0" fieldPosition="0"/>
    </format>
    <format dxfId="11">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7" count="1" selected="0">
            <x v="0"/>
          </reference>
        </references>
      </pivotArea>
    </chartFormat>
    <chartFormat chart="2" format="4">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E2C7B1-D6C1-124D-AF58-FE6111F259BE}" name="Payment Method"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rowHeaderCaption="Payment">
  <location ref="H5:I10" firstHeaderRow="1" firstDataRow="1" firstDataCol="1"/>
  <pivotFields count="17">
    <pivotField showAll="0"/>
    <pivotField showAll="0"/>
    <pivotField showAll="0"/>
    <pivotField showAll="0"/>
    <pivotField showAll="0">
      <items count="5">
        <item x="2"/>
        <item x="0"/>
        <item x="3"/>
        <item x="1"/>
        <item t="default"/>
      </items>
    </pivotField>
    <pivotField showAll="0"/>
    <pivotField showAll="0"/>
    <pivotField showAll="0"/>
    <pivotField axis="axisRow" showAll="0" sortType="descending">
      <items count="5">
        <item x="2"/>
        <item x="0"/>
        <item x="3"/>
        <item x="1"/>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numFmtId="14" showAll="0">
      <items count="119">
        <item x="32"/>
        <item x="12"/>
        <item x="55"/>
        <item x="8"/>
        <item x="82"/>
        <item x="74"/>
        <item x="34"/>
        <item x="41"/>
        <item x="2"/>
        <item x="50"/>
        <item x="70"/>
        <item x="57"/>
        <item x="117"/>
        <item x="46"/>
        <item x="107"/>
        <item x="67"/>
        <item x="11"/>
        <item x="26"/>
        <item x="63"/>
        <item x="27"/>
        <item x="110"/>
        <item x="21"/>
        <item x="105"/>
        <item x="56"/>
        <item x="106"/>
        <item x="45"/>
        <item x="80"/>
        <item x="114"/>
        <item x="48"/>
        <item x="111"/>
        <item x="68"/>
        <item x="62"/>
        <item x="9"/>
        <item x="15"/>
        <item x="72"/>
        <item x="103"/>
        <item x="94"/>
        <item x="31"/>
        <item x="29"/>
        <item x="35"/>
        <item x="24"/>
        <item x="6"/>
        <item x="91"/>
        <item x="100"/>
        <item x="89"/>
        <item x="53"/>
        <item x="97"/>
        <item x="101"/>
        <item x="28"/>
        <item x="60"/>
        <item x="84"/>
        <item x="44"/>
        <item x="96"/>
        <item x="19"/>
        <item x="14"/>
        <item x="0"/>
        <item x="78"/>
        <item x="58"/>
        <item x="33"/>
        <item x="108"/>
        <item x="51"/>
        <item x="98"/>
        <item x="116"/>
        <item x="1"/>
        <item x="59"/>
        <item x="22"/>
        <item x="75"/>
        <item x="77"/>
        <item x="79"/>
        <item x="49"/>
        <item x="69"/>
        <item x="81"/>
        <item x="16"/>
        <item x="85"/>
        <item x="95"/>
        <item x="4"/>
        <item x="86"/>
        <item x="5"/>
        <item x="83"/>
        <item x="92"/>
        <item x="112"/>
        <item x="52"/>
        <item x="64"/>
        <item x="90"/>
        <item x="7"/>
        <item x="10"/>
        <item x="42"/>
        <item x="54"/>
        <item x="76"/>
        <item x="109"/>
        <item x="13"/>
        <item x="36"/>
        <item x="23"/>
        <item x="65"/>
        <item x="61"/>
        <item x="43"/>
        <item x="20"/>
        <item x="113"/>
        <item x="18"/>
        <item x="37"/>
        <item x="47"/>
        <item x="87"/>
        <item x="3"/>
        <item x="99"/>
        <item x="38"/>
        <item x="73"/>
        <item x="104"/>
        <item x="25"/>
        <item x="40"/>
        <item x="17"/>
        <item x="30"/>
        <item x="102"/>
        <item x="93"/>
        <item x="66"/>
        <item x="71"/>
        <item x="88"/>
        <item x="115"/>
        <item x="39"/>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5">
    <i>
      <x v="2"/>
    </i>
    <i>
      <x v="3"/>
    </i>
    <i>
      <x v="1"/>
    </i>
    <i>
      <x/>
    </i>
    <i t="grand">
      <x/>
    </i>
  </rowItems>
  <colItems count="1">
    <i/>
  </colItems>
  <dataFields count="1">
    <dataField name="Sum of Total Price" fld="9" showDataAs="percentOfTotal" baseField="0" baseItem="0" numFmtId="10"/>
  </dataFields>
  <formats count="6">
    <format dxfId="24">
      <pivotArea type="all" dataOnly="0" outline="0" fieldPosition="0"/>
    </format>
    <format dxfId="23">
      <pivotArea outline="0" collapsedLevelsAreSubtotals="1" fieldPosition="0"/>
    </format>
    <format dxfId="22">
      <pivotArea field="8" type="button" dataOnly="0" labelOnly="1" outline="0" axis="axisRow" fieldPosition="0"/>
    </format>
    <format dxfId="21">
      <pivotArea dataOnly="0" labelOnly="1" fieldPosition="0">
        <references count="1">
          <reference field="8" count="0"/>
        </references>
      </pivotArea>
    </format>
    <format dxfId="20">
      <pivotArea dataOnly="0" labelOnly="1" grandRow="1" outline="0" fieldPosition="0"/>
    </format>
    <format dxfId="19">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8" count="1" selected="0">
            <x v="0"/>
          </reference>
        </references>
      </pivotArea>
    </chartFormat>
    <chartFormat chart="1" format="3">
      <pivotArea type="data" outline="0" fieldPosition="0">
        <references count="2">
          <reference field="4294967294" count="1" selected="0">
            <x v="0"/>
          </reference>
          <reference field="8" count="1" selected="0">
            <x v="1"/>
          </reference>
        </references>
      </pivotArea>
    </chartFormat>
    <chartFormat chart="1" format="4">
      <pivotArea type="data" outline="0" fieldPosition="0">
        <references count="2">
          <reference field="4294967294" count="1" selected="0">
            <x v="0"/>
          </reference>
          <reference field="8" count="1" selected="0">
            <x v="2"/>
          </reference>
        </references>
      </pivotArea>
    </chartFormat>
    <chartFormat chart="1" format="5">
      <pivotArea type="data" outline="0" fieldPosition="0">
        <references count="2">
          <reference field="4294967294" count="1" selected="0">
            <x v="0"/>
          </reference>
          <reference field="8" count="1" selected="0">
            <x v="3"/>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8" count="1" selected="0">
            <x v="0"/>
          </reference>
        </references>
      </pivotArea>
    </chartFormat>
    <chartFormat chart="2" format="8">
      <pivotArea type="data" outline="0" fieldPosition="0">
        <references count="2">
          <reference field="4294967294" count="1" selected="0">
            <x v="0"/>
          </reference>
          <reference field="8" count="1" selected="0">
            <x v="1"/>
          </reference>
        </references>
      </pivotArea>
    </chartFormat>
    <chartFormat chart="2" format="9">
      <pivotArea type="data" outline="0" fieldPosition="0">
        <references count="2">
          <reference field="4294967294" count="1" selected="0">
            <x v="0"/>
          </reference>
          <reference field="8" count="1" selected="0">
            <x v="2"/>
          </reference>
        </references>
      </pivotArea>
    </chartFormat>
    <chartFormat chart="2"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DE3173-FA66-1B4A-9293-1A5BD307D673}" name="Prdouct by Revenue"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rowHeaderCaption="Product">
  <location ref="K5:L10" firstHeaderRow="1" firstDataRow="1" firstDataCol="1"/>
  <pivotFields count="17">
    <pivotField showAll="0"/>
    <pivotField showAll="0"/>
    <pivotField showAll="0"/>
    <pivotField showAll="0"/>
    <pivotField axis="axisRow" showAll="0" sortType="descending">
      <items count="5">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0"/>
        <item x="1"/>
        <item t="default"/>
      </items>
    </pivotField>
    <pivotField showAll="0">
      <items count="5">
        <item x="2"/>
        <item x="0"/>
        <item x="3"/>
        <item x="1"/>
        <item t="default"/>
      </items>
    </pivotField>
    <pivotField dataField="1" showAll="0"/>
    <pivotField showAll="0"/>
    <pivotField showAll="0"/>
    <pivotField numFmtId="14" showAll="0">
      <items count="119">
        <item x="32"/>
        <item x="12"/>
        <item x="55"/>
        <item x="8"/>
        <item x="82"/>
        <item x="74"/>
        <item x="34"/>
        <item x="41"/>
        <item x="2"/>
        <item x="50"/>
        <item x="70"/>
        <item x="57"/>
        <item x="117"/>
        <item x="46"/>
        <item x="107"/>
        <item x="67"/>
        <item x="11"/>
        <item x="26"/>
        <item x="63"/>
        <item x="27"/>
        <item x="110"/>
        <item x="21"/>
        <item x="105"/>
        <item x="56"/>
        <item x="106"/>
        <item x="45"/>
        <item x="80"/>
        <item x="114"/>
        <item x="48"/>
        <item x="111"/>
        <item x="68"/>
        <item x="62"/>
        <item x="9"/>
        <item x="15"/>
        <item x="72"/>
        <item x="103"/>
        <item x="94"/>
        <item x="31"/>
        <item x="29"/>
        <item x="35"/>
        <item x="24"/>
        <item x="6"/>
        <item x="91"/>
        <item x="100"/>
        <item x="89"/>
        <item x="53"/>
        <item x="97"/>
        <item x="101"/>
        <item x="28"/>
        <item x="60"/>
        <item x="84"/>
        <item x="44"/>
        <item x="96"/>
        <item x="19"/>
        <item x="14"/>
        <item x="0"/>
        <item x="78"/>
        <item x="58"/>
        <item x="33"/>
        <item x="108"/>
        <item x="51"/>
        <item x="98"/>
        <item x="116"/>
        <item x="1"/>
        <item x="59"/>
        <item x="22"/>
        <item x="75"/>
        <item x="77"/>
        <item x="79"/>
        <item x="49"/>
        <item x="69"/>
        <item x="81"/>
        <item x="16"/>
        <item x="85"/>
        <item x="95"/>
        <item x="4"/>
        <item x="86"/>
        <item x="5"/>
        <item x="83"/>
        <item x="92"/>
        <item x="112"/>
        <item x="52"/>
        <item x="64"/>
        <item x="90"/>
        <item x="7"/>
        <item x="10"/>
        <item x="42"/>
        <item x="54"/>
        <item x="76"/>
        <item x="109"/>
        <item x="13"/>
        <item x="36"/>
        <item x="23"/>
        <item x="65"/>
        <item x="61"/>
        <item x="43"/>
        <item x="20"/>
        <item x="113"/>
        <item x="18"/>
        <item x="37"/>
        <item x="47"/>
        <item x="87"/>
        <item x="3"/>
        <item x="99"/>
        <item x="38"/>
        <item x="73"/>
        <item x="104"/>
        <item x="25"/>
        <item x="40"/>
        <item x="17"/>
        <item x="30"/>
        <item x="102"/>
        <item x="93"/>
        <item x="66"/>
        <item x="71"/>
        <item x="88"/>
        <item x="115"/>
        <item x="39"/>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5">
    <i>
      <x v="1"/>
    </i>
    <i>
      <x v="2"/>
    </i>
    <i>
      <x/>
    </i>
    <i>
      <x v="3"/>
    </i>
    <i t="grand">
      <x/>
    </i>
  </rowItems>
  <colItems count="1">
    <i/>
  </colItems>
  <dataFields count="1">
    <dataField name="Sum of Total Price" fld="9" baseField="0" baseItem="0" numFmtId="44"/>
  </dataFields>
  <formats count="7">
    <format dxfId="31">
      <pivotArea outline="0" collapsedLevelsAreSubtotals="1" fieldPosition="0"/>
    </format>
    <format dxfId="30">
      <pivotArea type="all" dataOnly="0" outline="0" fieldPosition="0"/>
    </format>
    <format dxfId="29">
      <pivotArea outline="0" collapsedLevelsAreSubtotals="1" fieldPosition="0"/>
    </format>
    <format dxfId="28">
      <pivotArea field="4" type="button" dataOnly="0" labelOnly="1" outline="0" axis="axisRow" fieldPosition="0"/>
    </format>
    <format dxfId="27">
      <pivotArea dataOnly="0" labelOnly="1" fieldPosition="0">
        <references count="1">
          <reference field="4" count="0"/>
        </references>
      </pivotArea>
    </format>
    <format dxfId="26">
      <pivotArea dataOnly="0" labelOnly="1" grandRow="1" outline="0" fieldPosition="0"/>
    </format>
    <format dxfId="25">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4" count="1" selected="0">
            <x v="2"/>
          </reference>
        </references>
      </pivotArea>
    </chartFormat>
    <chartFormat chart="2" format="4">
      <pivotArea type="data" outline="0" fieldPosition="0">
        <references count="2">
          <reference field="4294967294" count="1" selected="0">
            <x v="0"/>
          </reference>
          <reference field="4" count="1" selected="0">
            <x v="0"/>
          </reference>
        </references>
      </pivotArea>
    </chartFormat>
    <chartFormat chart="2" format="5">
      <pivotArea type="data" outline="0" fieldPosition="0">
        <references count="2">
          <reference field="4294967294" count="1" selected="0">
            <x v="0"/>
          </reference>
          <reference field="4" count="1" selected="0">
            <x v="3"/>
          </reference>
        </references>
      </pivotArea>
    </chartFormat>
    <chartFormat chart="2"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D81469-F86C-414A-BF8B-F4B951D719BD}" name="Monthly Sale"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Year">
  <location ref="B5:C8" firstHeaderRow="1" firstDataRow="1" firstDataCol="1"/>
  <pivotFields count="17">
    <pivotField showAll="0"/>
    <pivotField showAll="0"/>
    <pivotField showAll="0"/>
    <pivotField showAll="0"/>
    <pivotField showAll="0">
      <items count="5">
        <item x="2"/>
        <item x="0"/>
        <item x="3"/>
        <item x="1"/>
        <item t="default"/>
      </items>
    </pivotField>
    <pivotField showAll="0"/>
    <pivotField showAll="0"/>
    <pivotField showAll="0"/>
    <pivotField showAll="0">
      <items count="5">
        <item x="2"/>
        <item x="0"/>
        <item x="3"/>
        <item x="1"/>
        <item t="default"/>
      </items>
    </pivotField>
    <pivotField dataField="1" showAll="0"/>
    <pivotField showAll="0"/>
    <pivotField showAll="0"/>
    <pivotField axis="axisRow" numFmtId="14" showAll="0">
      <items count="119">
        <item x="32"/>
        <item x="12"/>
        <item x="55"/>
        <item x="8"/>
        <item x="82"/>
        <item x="74"/>
        <item x="34"/>
        <item x="41"/>
        <item x="2"/>
        <item x="50"/>
        <item x="70"/>
        <item x="57"/>
        <item x="117"/>
        <item x="46"/>
        <item x="107"/>
        <item x="67"/>
        <item x="11"/>
        <item x="26"/>
        <item x="63"/>
        <item x="27"/>
        <item x="110"/>
        <item x="21"/>
        <item x="105"/>
        <item x="56"/>
        <item x="106"/>
        <item x="45"/>
        <item x="80"/>
        <item x="114"/>
        <item x="48"/>
        <item x="111"/>
        <item x="68"/>
        <item x="62"/>
        <item x="9"/>
        <item x="15"/>
        <item x="72"/>
        <item x="103"/>
        <item x="94"/>
        <item x="31"/>
        <item x="29"/>
        <item x="35"/>
        <item x="24"/>
        <item x="6"/>
        <item x="91"/>
        <item x="100"/>
        <item x="89"/>
        <item x="53"/>
        <item x="97"/>
        <item x="101"/>
        <item x="28"/>
        <item x="60"/>
        <item x="84"/>
        <item x="44"/>
        <item x="96"/>
        <item x="19"/>
        <item x="14"/>
        <item x="0"/>
        <item x="78"/>
        <item x="58"/>
        <item x="33"/>
        <item x="108"/>
        <item x="51"/>
        <item x="98"/>
        <item x="116"/>
        <item x="1"/>
        <item x="59"/>
        <item x="22"/>
        <item x="75"/>
        <item x="77"/>
        <item x="79"/>
        <item x="49"/>
        <item x="69"/>
        <item x="81"/>
        <item x="16"/>
        <item x="85"/>
        <item x="95"/>
        <item x="4"/>
        <item x="86"/>
        <item x="5"/>
        <item x="83"/>
        <item x="92"/>
        <item x="112"/>
        <item x="52"/>
        <item x="64"/>
        <item x="90"/>
        <item x="7"/>
        <item x="10"/>
        <item x="42"/>
        <item x="54"/>
        <item x="76"/>
        <item x="109"/>
        <item x="13"/>
        <item x="36"/>
        <item x="23"/>
        <item x="65"/>
        <item x="61"/>
        <item x="43"/>
        <item x="20"/>
        <item x="113"/>
        <item x="18"/>
        <item x="37"/>
        <item x="47"/>
        <item x="87"/>
        <item x="3"/>
        <item x="99"/>
        <item x="38"/>
        <item x="73"/>
        <item x="104"/>
        <item x="25"/>
        <item x="40"/>
        <item x="17"/>
        <item x="30"/>
        <item x="102"/>
        <item x="93"/>
        <item x="66"/>
        <item x="71"/>
        <item x="88"/>
        <item x="115"/>
        <item x="39"/>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sortType="descending">
      <items count="5">
        <item sd="0" x="0"/>
        <item sd="0" x="1"/>
        <item sd="0" x="2"/>
        <item sd="0" x="3"/>
        <item t="default"/>
      </items>
      <autoSortScope>
        <pivotArea dataOnly="0" outline="0" fieldPosition="0">
          <references count="1">
            <reference field="4294967294" count="1" selected="0">
              <x v="0"/>
            </reference>
          </references>
        </pivotArea>
      </autoSortScope>
    </pivotField>
  </pivotFields>
  <rowFields count="4">
    <field x="16"/>
    <field x="15"/>
    <field x="14"/>
    <field x="12"/>
  </rowFields>
  <rowItems count="3">
    <i>
      <x v="2"/>
    </i>
    <i>
      <x v="1"/>
    </i>
    <i t="grand">
      <x/>
    </i>
  </rowItems>
  <colItems count="1">
    <i/>
  </colItems>
  <dataFields count="1">
    <dataField name="Sum of Total Price" fld="9" baseField="0" baseItem="0" numFmtId="44"/>
  </dataFields>
  <formats count="1">
    <format dxfId="32">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6" count="1" selected="0">
            <x v="2"/>
          </reference>
        </references>
      </pivotArea>
    </chartFormat>
    <chartFormat chart="2" format="4">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117CF2DE-45AD-344C-9EF3-CD96E6C8BF7E}" sourceName="Product Type">
  <pivotTables>
    <pivotTable tabId="2" name="Prdouct by Revenue"/>
  </pivotTables>
  <data>
    <tabular pivotCacheId="612447131">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F72EA78A-528F-B447-83A5-836353CD2ACC}" sourceName="Order Status">
  <pivotTables>
    <pivotTable tabId="2" name="Prdouct by Revenue"/>
  </pivotTables>
  <data>
    <tabular pivotCacheId="61244713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A70A6EA9-43AF-3645-B38F-4BC3671079A6}" sourceName="Payment Method">
  <pivotTables>
    <pivotTable tabId="2" name="Prdouct by Revenue"/>
  </pivotTables>
  <data>
    <tabular pivotCacheId="612447131">
      <items count="4">
        <i x="2" s="1"/>
        <i x="0"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Purchase_Date" xr10:uid="{1C3B6C76-C54C-F24C-806B-263B70EDB328}" sourceName="Years (Purchase Date)">
  <pivotTables>
    <pivotTable tabId="2" name="Prdouct by Revenue"/>
  </pivotTables>
  <data>
    <tabular pivotCacheId="612447131">
      <items count="4">
        <i x="1" s="1"/>
        <i x="2" s="1"/>
        <i x="0"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Type" xr10:uid="{08EEA1F8-8C5A-6745-8EF3-0E037FA53EED}" cache="Slicer_Product_Type" caption="Product Type" rowHeight="274320"/>
  <slicer name="Order Status" xr10:uid="{B5565BBE-F176-FB4C-9D6B-E4B5D23A75F6}" cache="Slicer_Order_Status" caption="Order Status" columnCount="2" rowHeight="274320"/>
  <slicer name="Payment Method" xr10:uid="{8E4844C7-FE2A-EF4F-A5BF-4C8CEB8FF48C}" cache="Slicer_Payment_Method" caption="Payment Method" rowHeight="365760"/>
  <slicer name="Years (Purchase Date)" xr10:uid="{C476743C-A889-564C-BD19-2964371D5EE8}" cache="Slicer_Years__Purchase_Date" caption="Years (Purchase Date)"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Purchase_Date" xr10:uid="{E28861BD-4DFB-CA45-A3D8-A8E80848A30E}" sourceName="Purchase Date">
  <pivotTables>
    <pivotTable tabId="2" name="Monthly Sale"/>
    <pivotTable tabId="2" name="Order Status"/>
    <pivotTable tabId="2" name="Payment Method"/>
    <pivotTable tabId="2" name="Prdouct by Revenue"/>
  </pivotTables>
  <state minimalRefreshVersion="6" lastRefreshVersion="6" pivotCacheId="612447131"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Purchase Date" xr10:uid="{5971CC08-3390-364D-892C-875FAD40E87D}" cache="NativeTimeline_Purchase_Date" caption="Purchase Date" level="0" selectionLevel="0" scrollPosition="2023-01-01T00:00:00" style="TimeSlicerStyleDark6"/>
</timeline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A60FC-1CDE-484C-909A-66B7AF12D7D3}">
  <sheetPr>
    <outlinePr summaryBelow="0"/>
  </sheetPr>
  <dimension ref="B1:E15"/>
  <sheetViews>
    <sheetView showGridLines="0" zoomScale="137" workbookViewId="0">
      <selection activeCell="D10" sqref="D10"/>
    </sheetView>
  </sheetViews>
  <sheetFormatPr baseColWidth="10" defaultRowHeight="16" outlineLevelRow="1" outlineLevelCol="1" x14ac:dyDescent="0.2"/>
  <cols>
    <col min="3" max="3" width="6.5" bestFit="1" customWidth="1"/>
    <col min="4" max="5" width="15.33203125" bestFit="1" customWidth="1" outlineLevel="1"/>
  </cols>
  <sheetData>
    <row r="1" spans="2:5" ht="17" thickBot="1" x14ac:dyDescent="0.25"/>
    <row r="2" spans="2:5" ht="19" x14ac:dyDescent="0.25">
      <c r="B2" s="26" t="s">
        <v>48</v>
      </c>
      <c r="C2" s="26"/>
      <c r="D2" s="30"/>
      <c r="E2" s="30"/>
    </row>
    <row r="3" spans="2:5" ht="19" collapsed="1" x14ac:dyDescent="0.25">
      <c r="B3" s="25"/>
      <c r="C3" s="25"/>
      <c r="D3" s="31" t="s">
        <v>50</v>
      </c>
      <c r="E3" s="31" t="s">
        <v>62</v>
      </c>
    </row>
    <row r="4" spans="2:5" ht="24" hidden="1" outlineLevel="1" x14ac:dyDescent="0.2">
      <c r="B4" s="28"/>
      <c r="C4" s="28"/>
      <c r="E4" s="35" t="s">
        <v>47</v>
      </c>
    </row>
    <row r="5" spans="2:5" x14ac:dyDescent="0.2">
      <c r="B5" s="29" t="s">
        <v>49</v>
      </c>
      <c r="C5" s="29"/>
      <c r="D5" s="27"/>
      <c r="E5" s="27"/>
    </row>
    <row r="6" spans="2:5" outlineLevel="1" x14ac:dyDescent="0.2">
      <c r="B6" s="28"/>
      <c r="C6" s="28" t="s">
        <v>56</v>
      </c>
      <c r="D6" t="s">
        <v>55</v>
      </c>
      <c r="E6" s="34" t="s">
        <v>55</v>
      </c>
    </row>
    <row r="7" spans="2:5" outlineLevel="1" x14ac:dyDescent="0.2">
      <c r="B7" s="28"/>
      <c r="C7" s="28" t="s">
        <v>57</v>
      </c>
      <c r="D7" t="s">
        <v>54</v>
      </c>
      <c r="E7" s="34" t="s">
        <v>54</v>
      </c>
    </row>
    <row r="8" spans="2:5" outlineLevel="1" x14ac:dyDescent="0.2">
      <c r="B8" s="28"/>
      <c r="C8" s="28" t="s">
        <v>58</v>
      </c>
      <c r="D8" t="s">
        <v>39</v>
      </c>
      <c r="E8" s="34" t="s">
        <v>39</v>
      </c>
    </row>
    <row r="9" spans="2:5" outlineLevel="1" x14ac:dyDescent="0.2">
      <c r="B9" s="28"/>
      <c r="C9" s="28" t="s">
        <v>59</v>
      </c>
      <c r="D9" s="8">
        <v>71183.240000000107</v>
      </c>
      <c r="E9" s="36">
        <v>71183.240000000107</v>
      </c>
    </row>
    <row r="10" spans="2:5" outlineLevel="1" x14ac:dyDescent="0.2">
      <c r="B10" s="28"/>
      <c r="C10" s="28" t="s">
        <v>60</v>
      </c>
      <c r="D10" s="8">
        <v>812</v>
      </c>
      <c r="E10" s="36">
        <v>812</v>
      </c>
    </row>
    <row r="11" spans="2:5" outlineLevel="1" x14ac:dyDescent="0.2">
      <c r="B11" s="28"/>
      <c r="C11" s="28" t="s">
        <v>61</v>
      </c>
      <c r="D11" s="8">
        <v>383194.5</v>
      </c>
      <c r="E11" s="36">
        <v>383194.5</v>
      </c>
    </row>
    <row r="12" spans="2:5" ht="17" thickBot="1" x14ac:dyDescent="0.25">
      <c r="B12" s="32"/>
      <c r="C12" s="32"/>
      <c r="D12" s="33"/>
      <c r="E12" s="33"/>
    </row>
    <row r="13" spans="2:5" x14ac:dyDescent="0.2">
      <c r="B13" t="s">
        <v>51</v>
      </c>
    </row>
    <row r="14" spans="2:5" x14ac:dyDescent="0.2">
      <c r="B14" t="s">
        <v>52</v>
      </c>
    </row>
    <row r="15" spans="2:5" x14ac:dyDescent="0.2">
      <c r="B15" t="s">
        <v>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5A6B1-E43A-6F42-93C1-9DC1E02E73D5}">
  <dimension ref="B5:L31"/>
  <sheetViews>
    <sheetView topLeftCell="A4" workbookViewId="0">
      <selection activeCell="I27" sqref="G26:I27"/>
    </sheetView>
  </sheetViews>
  <sheetFormatPr baseColWidth="10" defaultRowHeight="16" x14ac:dyDescent="0.2"/>
  <cols>
    <col min="1" max="1" width="11" bestFit="1" customWidth="1"/>
    <col min="2" max="2" width="10.5" bestFit="1" customWidth="1"/>
    <col min="3" max="3" width="15.83203125" bestFit="1" customWidth="1"/>
    <col min="5" max="5" width="14" bestFit="1" customWidth="1"/>
    <col min="6" max="6" width="17.83203125" bestFit="1" customWidth="1"/>
    <col min="7" max="7" width="25.5" bestFit="1" customWidth="1"/>
    <col min="8" max="8" width="23.6640625" bestFit="1" customWidth="1"/>
    <col min="9" max="10" width="26.5" bestFit="1" customWidth="1"/>
    <col min="11" max="11" width="11.1640625" bestFit="1" customWidth="1"/>
    <col min="12" max="12" width="15.83203125" bestFit="1" customWidth="1"/>
  </cols>
  <sheetData>
    <row r="5" spans="2:12" x14ac:dyDescent="0.2">
      <c r="B5" s="6" t="s">
        <v>44</v>
      </c>
      <c r="C5" t="s">
        <v>39</v>
      </c>
      <c r="E5" s="15" t="s">
        <v>7</v>
      </c>
      <c r="F5" s="16" t="s">
        <v>41</v>
      </c>
      <c r="H5" s="15" t="s">
        <v>40</v>
      </c>
      <c r="I5" s="16" t="s">
        <v>39</v>
      </c>
      <c r="K5" s="15" t="s">
        <v>34</v>
      </c>
      <c r="L5" s="16" t="s">
        <v>39</v>
      </c>
    </row>
    <row r="6" spans="2:12" x14ac:dyDescent="0.2">
      <c r="B6" s="7" t="s">
        <v>43</v>
      </c>
      <c r="C6" s="8">
        <v>274582.90000000002</v>
      </c>
      <c r="E6" s="17" t="s">
        <v>22</v>
      </c>
      <c r="F6" s="18">
        <v>8391</v>
      </c>
      <c r="H6" s="17" t="s">
        <v>32</v>
      </c>
      <c r="I6" s="19">
        <v>0.32073834567041015</v>
      </c>
      <c r="K6" s="17" t="s">
        <v>16</v>
      </c>
      <c r="L6" s="18">
        <v>152561.72000000003</v>
      </c>
    </row>
    <row r="7" spans="2:12" x14ac:dyDescent="0.2">
      <c r="B7" s="7" t="s">
        <v>42</v>
      </c>
      <c r="C7" s="8">
        <v>108611.60000000003</v>
      </c>
      <c r="E7" s="17" t="s">
        <v>18</v>
      </c>
      <c r="F7" s="18">
        <v>2812</v>
      </c>
      <c r="H7" s="17" t="s">
        <v>23</v>
      </c>
      <c r="I7" s="19">
        <v>0.28002515693727337</v>
      </c>
      <c r="K7" s="17" t="s">
        <v>30</v>
      </c>
      <c r="L7" s="18">
        <v>127569.33000000003</v>
      </c>
    </row>
    <row r="8" spans="2:12" x14ac:dyDescent="0.2">
      <c r="B8" s="7" t="s">
        <v>38</v>
      </c>
      <c r="C8" s="8">
        <v>383194.50000000006</v>
      </c>
      <c r="E8" s="17" t="s">
        <v>38</v>
      </c>
      <c r="F8" s="18">
        <v>11203</v>
      </c>
      <c r="H8" s="17" t="s">
        <v>19</v>
      </c>
      <c r="I8" s="19">
        <v>0.21333570810645763</v>
      </c>
      <c r="K8" s="17" t="s">
        <v>24</v>
      </c>
      <c r="L8" s="18">
        <v>67738.159999999989</v>
      </c>
    </row>
    <row r="9" spans="2:12" x14ac:dyDescent="0.2">
      <c r="E9" s="14"/>
      <c r="F9" s="14"/>
      <c r="H9" s="17" t="s">
        <v>27</v>
      </c>
      <c r="I9" s="19">
        <v>0.18590078928585876</v>
      </c>
      <c r="K9" s="17" t="s">
        <v>20</v>
      </c>
      <c r="L9" s="18">
        <v>35325.29</v>
      </c>
    </row>
    <row r="10" spans="2:12" x14ac:dyDescent="0.2">
      <c r="H10" s="17" t="s">
        <v>38</v>
      </c>
      <c r="I10" s="19">
        <v>1</v>
      </c>
      <c r="K10" s="17" t="s">
        <v>38</v>
      </c>
      <c r="L10" s="18">
        <v>383194.5</v>
      </c>
    </row>
    <row r="28" ht="27" x14ac:dyDescent="0.35"/>
    <row r="29" ht="27" x14ac:dyDescent="0.35"/>
    <row r="30" ht="27" x14ac:dyDescent="0.35"/>
    <row r="31" ht="27" x14ac:dyDescent="0.35"/>
  </sheetData>
  <scenarios current="0" show="0">
    <scenario name="Summarization" locked="1" count="6" user="JENISH PATEL" comment="Created by JENISH PATEL on 3/1/2026">
      <inputCells r="G26" val="Sum of Unit Price"/>
      <inputCells r="H26" val="Sum of Quantity"/>
      <inputCells r="I26" val="Sum of Total Price"/>
      <inputCells r="G27" val="71183.2400000001" numFmtId="44"/>
      <inputCells r="H27" val="812" numFmtId="44"/>
      <inputCells r="I27" val="383194.5" numFmtId="44"/>
    </scenario>
  </scenario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6EA87-8F24-D840-9D4C-E932E025403E}">
  <dimension ref="C10:T18"/>
  <sheetViews>
    <sheetView showGridLines="0" zoomScale="37" zoomScaleNormal="37" workbookViewId="0">
      <selection activeCell="AK40" sqref="AK40"/>
    </sheetView>
  </sheetViews>
  <sheetFormatPr baseColWidth="10" defaultRowHeight="16" x14ac:dyDescent="0.2"/>
  <cols>
    <col min="1" max="16384" width="10.83203125" style="12"/>
  </cols>
  <sheetData>
    <row r="10" spans="3:20" x14ac:dyDescent="0.2">
      <c r="C10" s="13"/>
    </row>
    <row r="12" spans="3:20" ht="17" thickBot="1" x14ac:dyDescent="0.25"/>
    <row r="13" spans="3:20" ht="17" customHeight="1" thickTop="1" x14ac:dyDescent="0.2">
      <c r="C13" s="37">
        <f>GETPIVOTDATA("Total Price",'PIVOT TABLE'!$B$5)</f>
        <v>383194.50000000006</v>
      </c>
      <c r="D13" s="38"/>
      <c r="E13" s="39"/>
      <c r="H13" s="37" t="str">
        <f>'PIVOT TABLE'!K6</f>
        <v>Smartphone</v>
      </c>
      <c r="I13" s="38"/>
      <c r="J13" s="39"/>
      <c r="M13" s="37">
        <f>AVERAGE('ELECTRONIC DATASET'!J2:J150)</f>
        <v>2571.775167785237</v>
      </c>
      <c r="N13" s="38"/>
      <c r="O13" s="39"/>
      <c r="R13" s="46" t="str">
        <f>'PIVOT TABLE'!B6</f>
        <v>2024</v>
      </c>
      <c r="S13" s="47"/>
      <c r="T13" s="48"/>
    </row>
    <row r="14" spans="3:20" ht="16" customHeight="1" x14ac:dyDescent="0.2">
      <c r="C14" s="40"/>
      <c r="D14" s="41"/>
      <c r="E14" s="42"/>
      <c r="H14" s="40"/>
      <c r="I14" s="41"/>
      <c r="J14" s="42"/>
      <c r="M14" s="40"/>
      <c r="N14" s="41"/>
      <c r="O14" s="42"/>
      <c r="R14" s="49"/>
      <c r="S14" s="50"/>
      <c r="T14" s="51"/>
    </row>
    <row r="15" spans="3:20" ht="16" customHeight="1" x14ac:dyDescent="0.2">
      <c r="C15" s="40"/>
      <c r="D15" s="41"/>
      <c r="E15" s="42"/>
      <c r="H15" s="40"/>
      <c r="I15" s="41"/>
      <c r="J15" s="42"/>
      <c r="M15" s="40"/>
      <c r="N15" s="41"/>
      <c r="O15" s="42"/>
      <c r="R15" s="49"/>
      <c r="S15" s="50"/>
      <c r="T15" s="51"/>
    </row>
    <row r="16" spans="3:20" ht="16" customHeight="1" x14ac:dyDescent="0.2">
      <c r="C16" s="40"/>
      <c r="D16" s="41"/>
      <c r="E16" s="42"/>
      <c r="H16" s="40"/>
      <c r="I16" s="41"/>
      <c r="J16" s="42"/>
      <c r="M16" s="40"/>
      <c r="N16" s="41"/>
      <c r="O16" s="42"/>
      <c r="R16" s="49"/>
      <c r="S16" s="50"/>
      <c r="T16" s="51"/>
    </row>
    <row r="17" spans="3:20" ht="17" customHeight="1" thickBot="1" x14ac:dyDescent="0.25">
      <c r="C17" s="43"/>
      <c r="D17" s="44"/>
      <c r="E17" s="45"/>
      <c r="H17" s="43"/>
      <c r="I17" s="44"/>
      <c r="J17" s="45"/>
      <c r="M17" s="43"/>
      <c r="N17" s="44"/>
      <c r="O17" s="45"/>
      <c r="R17" s="52"/>
      <c r="S17" s="53"/>
      <c r="T17" s="54"/>
    </row>
    <row r="18" spans="3:20" ht="17" thickTop="1" x14ac:dyDescent="0.2"/>
  </sheetData>
  <mergeCells count="4">
    <mergeCell ref="C13:E17"/>
    <mergeCell ref="H13:J17"/>
    <mergeCell ref="M13:O17"/>
    <mergeCell ref="R13:T17"/>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C35D9-A8EB-2A4F-A4CD-67191F971AE3}">
  <dimension ref="A1:H150"/>
  <sheetViews>
    <sheetView tabSelected="1" zoomScale="110" workbookViewId="0">
      <selection activeCell="F3" sqref="F3:H4"/>
    </sheetView>
  </sheetViews>
  <sheetFormatPr baseColWidth="10" defaultRowHeight="16" x14ac:dyDescent="0.2"/>
  <cols>
    <col min="1" max="1" width="12" style="1" bestFit="1" customWidth="1"/>
    <col min="2" max="2" width="8.1640625" style="1" bestFit="1" customWidth="1"/>
    <col min="3" max="3" width="10.1640625" style="1" bestFit="1" customWidth="1"/>
    <col min="6" max="6" width="12.1640625" bestFit="1" customWidth="1"/>
  </cols>
  <sheetData>
    <row r="1" spans="1:8" x14ac:dyDescent="0.2">
      <c r="A1" s="20" t="s">
        <v>4</v>
      </c>
      <c r="B1" s="20" t="s">
        <v>11</v>
      </c>
      <c r="C1" s="20" t="s">
        <v>9</v>
      </c>
    </row>
    <row r="2" spans="1:8" x14ac:dyDescent="0.2">
      <c r="A2" s="20" t="s">
        <v>16</v>
      </c>
      <c r="B2" s="20">
        <v>7</v>
      </c>
      <c r="C2" s="20">
        <v>5538.33</v>
      </c>
    </row>
    <row r="3" spans="1:8" x14ac:dyDescent="0.2">
      <c r="A3" s="20" t="s">
        <v>20</v>
      </c>
      <c r="B3" s="20">
        <v>3</v>
      </c>
      <c r="C3" s="20">
        <v>741.09</v>
      </c>
      <c r="F3" s="23" t="s">
        <v>45</v>
      </c>
      <c r="G3" s="23" t="s">
        <v>11</v>
      </c>
      <c r="H3" s="24" t="s">
        <v>46</v>
      </c>
    </row>
    <row r="4" spans="1:8" x14ac:dyDescent="0.2">
      <c r="A4" s="20" t="s">
        <v>24</v>
      </c>
      <c r="B4" s="20">
        <v>4</v>
      </c>
      <c r="C4" s="20">
        <v>1855.84</v>
      </c>
      <c r="F4" s="23" t="s">
        <v>24</v>
      </c>
      <c r="G4" s="23" cm="1">
        <f t="array" aca="1" ref="G4:H4" ca="1">OFFSET(A1,3,1,1,2)</f>
        <v>4</v>
      </c>
      <c r="H4" s="23">
        <f ca="1"/>
        <v>1855.84</v>
      </c>
    </row>
    <row r="5" spans="1:8" x14ac:dyDescent="0.2">
      <c r="A5" s="20" t="s">
        <v>16</v>
      </c>
      <c r="B5" s="20">
        <v>4</v>
      </c>
      <c r="C5" s="20">
        <v>3164.76</v>
      </c>
    </row>
    <row r="6" spans="1:8" x14ac:dyDescent="0.2">
      <c r="A6" s="20" t="s">
        <v>16</v>
      </c>
      <c r="B6" s="20">
        <v>2</v>
      </c>
      <c r="C6" s="20">
        <v>41.5</v>
      </c>
    </row>
    <row r="7" spans="1:8" x14ac:dyDescent="0.2">
      <c r="A7" s="20" t="s">
        <v>16</v>
      </c>
      <c r="B7" s="20">
        <v>4</v>
      </c>
      <c r="C7" s="20">
        <v>83</v>
      </c>
    </row>
    <row r="8" spans="1:8" x14ac:dyDescent="0.2">
      <c r="A8" s="20" t="s">
        <v>30</v>
      </c>
      <c r="B8" s="20">
        <v>9</v>
      </c>
      <c r="C8" s="20">
        <v>7603.47</v>
      </c>
    </row>
    <row r="9" spans="1:8" x14ac:dyDescent="0.2">
      <c r="A9" s="20" t="s">
        <v>24</v>
      </c>
      <c r="B9" s="20">
        <v>9</v>
      </c>
      <c r="C9" s="20">
        <v>4175.6400000000003</v>
      </c>
    </row>
    <row r="10" spans="1:8" x14ac:dyDescent="0.2">
      <c r="A10" s="20" t="s">
        <v>16</v>
      </c>
      <c r="B10" s="20">
        <v>7</v>
      </c>
      <c r="C10" s="20">
        <v>5538.33</v>
      </c>
    </row>
    <row r="11" spans="1:8" x14ac:dyDescent="0.2">
      <c r="A11" s="20" t="s">
        <v>24</v>
      </c>
      <c r="B11" s="20">
        <v>9</v>
      </c>
      <c r="C11" s="20">
        <v>4175.6400000000003</v>
      </c>
    </row>
    <row r="12" spans="1:8" x14ac:dyDescent="0.2">
      <c r="A12" s="20" t="s">
        <v>20</v>
      </c>
      <c r="B12" s="20">
        <v>10</v>
      </c>
      <c r="C12" s="20">
        <v>2470.3000000000002</v>
      </c>
    </row>
    <row r="13" spans="1:8" x14ac:dyDescent="0.2">
      <c r="A13" s="20" t="s">
        <v>16</v>
      </c>
      <c r="B13" s="20">
        <v>9</v>
      </c>
      <c r="C13" s="20">
        <v>7120.71</v>
      </c>
    </row>
    <row r="14" spans="1:8" x14ac:dyDescent="0.2">
      <c r="A14" s="20" t="s">
        <v>30</v>
      </c>
      <c r="B14" s="20">
        <v>4</v>
      </c>
      <c r="C14" s="20">
        <v>3379.32</v>
      </c>
    </row>
    <row r="15" spans="1:8" x14ac:dyDescent="0.2">
      <c r="A15" s="20" t="s">
        <v>16</v>
      </c>
      <c r="B15" s="20">
        <v>10</v>
      </c>
      <c r="C15" s="20">
        <v>7911.9</v>
      </c>
    </row>
    <row r="16" spans="1:8" x14ac:dyDescent="0.2">
      <c r="A16" s="20" t="s">
        <v>16</v>
      </c>
      <c r="B16" s="20">
        <v>7</v>
      </c>
      <c r="C16" s="20">
        <v>5538.33</v>
      </c>
    </row>
    <row r="17" spans="1:3" x14ac:dyDescent="0.2">
      <c r="A17" s="20" t="s">
        <v>30</v>
      </c>
      <c r="B17" s="20">
        <v>6</v>
      </c>
      <c r="C17" s="20">
        <v>5068.9799999999996</v>
      </c>
    </row>
    <row r="18" spans="1:3" x14ac:dyDescent="0.2">
      <c r="A18" s="20" t="s">
        <v>16</v>
      </c>
      <c r="B18" s="20">
        <v>6</v>
      </c>
      <c r="C18" s="20">
        <v>4747.1400000000003</v>
      </c>
    </row>
    <row r="19" spans="1:3" x14ac:dyDescent="0.2">
      <c r="A19" s="20" t="s">
        <v>16</v>
      </c>
      <c r="B19" s="20">
        <v>4</v>
      </c>
      <c r="C19" s="20">
        <v>83</v>
      </c>
    </row>
    <row r="20" spans="1:3" x14ac:dyDescent="0.2">
      <c r="A20" s="20" t="s">
        <v>16</v>
      </c>
      <c r="B20" s="20">
        <v>5</v>
      </c>
      <c r="C20" s="20">
        <v>103.75</v>
      </c>
    </row>
    <row r="21" spans="1:3" x14ac:dyDescent="0.2">
      <c r="A21" s="20" t="s">
        <v>16</v>
      </c>
      <c r="B21" s="20">
        <v>6</v>
      </c>
      <c r="C21" s="20">
        <v>124.5</v>
      </c>
    </row>
    <row r="22" spans="1:3" x14ac:dyDescent="0.2">
      <c r="A22" s="20" t="s">
        <v>16</v>
      </c>
      <c r="B22" s="20">
        <v>4</v>
      </c>
      <c r="C22" s="20">
        <v>83</v>
      </c>
    </row>
    <row r="23" spans="1:3" x14ac:dyDescent="0.2">
      <c r="A23" s="20" t="s">
        <v>20</v>
      </c>
      <c r="B23" s="20">
        <v>4</v>
      </c>
      <c r="C23" s="20">
        <v>988.12</v>
      </c>
    </row>
    <row r="24" spans="1:3" x14ac:dyDescent="0.2">
      <c r="A24" s="20" t="s">
        <v>30</v>
      </c>
      <c r="B24" s="20">
        <v>1</v>
      </c>
      <c r="C24" s="20">
        <v>844.83</v>
      </c>
    </row>
    <row r="25" spans="1:3" x14ac:dyDescent="0.2">
      <c r="A25" s="20" t="s">
        <v>30</v>
      </c>
      <c r="B25" s="20">
        <v>4</v>
      </c>
      <c r="C25" s="20">
        <v>3379.32</v>
      </c>
    </row>
    <row r="26" spans="1:3" x14ac:dyDescent="0.2">
      <c r="A26" s="20" t="s">
        <v>30</v>
      </c>
      <c r="B26" s="20">
        <v>1</v>
      </c>
      <c r="C26" s="20">
        <v>844.83</v>
      </c>
    </row>
    <row r="27" spans="1:3" x14ac:dyDescent="0.2">
      <c r="A27" s="20" t="s">
        <v>30</v>
      </c>
      <c r="B27" s="20">
        <v>8</v>
      </c>
      <c r="C27" s="20">
        <v>6758.64</v>
      </c>
    </row>
    <row r="28" spans="1:3" x14ac:dyDescent="0.2">
      <c r="A28" s="20" t="s">
        <v>16</v>
      </c>
      <c r="B28" s="20">
        <v>2</v>
      </c>
      <c r="C28" s="20">
        <v>1582.38</v>
      </c>
    </row>
    <row r="29" spans="1:3" x14ac:dyDescent="0.2">
      <c r="A29" s="20" t="s">
        <v>24</v>
      </c>
      <c r="B29" s="20">
        <v>6</v>
      </c>
      <c r="C29" s="20">
        <v>2783.76</v>
      </c>
    </row>
    <row r="30" spans="1:3" x14ac:dyDescent="0.2">
      <c r="A30" s="20" t="s">
        <v>16</v>
      </c>
      <c r="B30" s="20">
        <v>4</v>
      </c>
      <c r="C30" s="20">
        <v>83</v>
      </c>
    </row>
    <row r="31" spans="1:3" x14ac:dyDescent="0.2">
      <c r="A31" s="20" t="s">
        <v>16</v>
      </c>
      <c r="B31" s="20">
        <v>6</v>
      </c>
      <c r="C31" s="20">
        <v>4747.1400000000003</v>
      </c>
    </row>
    <row r="32" spans="1:3" x14ac:dyDescent="0.2">
      <c r="A32" s="20" t="s">
        <v>30</v>
      </c>
      <c r="B32" s="20">
        <v>8</v>
      </c>
      <c r="C32" s="20">
        <v>6758.64</v>
      </c>
    </row>
    <row r="33" spans="1:3" x14ac:dyDescent="0.2">
      <c r="A33" s="20" t="s">
        <v>30</v>
      </c>
      <c r="B33" s="20">
        <v>5</v>
      </c>
      <c r="C33" s="20">
        <v>4224.1499999999996</v>
      </c>
    </row>
    <row r="34" spans="1:3" x14ac:dyDescent="0.2">
      <c r="A34" s="20" t="s">
        <v>30</v>
      </c>
      <c r="B34" s="20">
        <v>7</v>
      </c>
      <c r="C34" s="20">
        <v>5913.81</v>
      </c>
    </row>
    <row r="35" spans="1:3" x14ac:dyDescent="0.2">
      <c r="A35" s="20" t="s">
        <v>16</v>
      </c>
      <c r="B35" s="20">
        <v>5</v>
      </c>
      <c r="C35" s="20">
        <v>103.75</v>
      </c>
    </row>
    <row r="36" spans="1:3" x14ac:dyDescent="0.2">
      <c r="A36" s="20" t="s">
        <v>20</v>
      </c>
      <c r="B36" s="20">
        <v>4</v>
      </c>
      <c r="C36" s="20">
        <v>988.12</v>
      </c>
    </row>
    <row r="37" spans="1:3" x14ac:dyDescent="0.2">
      <c r="A37" s="20" t="s">
        <v>16</v>
      </c>
      <c r="B37" s="20">
        <v>4</v>
      </c>
      <c r="C37" s="20">
        <v>3164.76</v>
      </c>
    </row>
    <row r="38" spans="1:3" x14ac:dyDescent="0.2">
      <c r="A38" s="20" t="s">
        <v>16</v>
      </c>
      <c r="B38" s="20">
        <v>9</v>
      </c>
      <c r="C38" s="20">
        <v>186.75</v>
      </c>
    </row>
    <row r="39" spans="1:3" x14ac:dyDescent="0.2">
      <c r="A39" s="20" t="s">
        <v>16</v>
      </c>
      <c r="B39" s="20">
        <v>3</v>
      </c>
      <c r="C39" s="20">
        <v>62.25</v>
      </c>
    </row>
    <row r="40" spans="1:3" x14ac:dyDescent="0.2">
      <c r="A40" s="20" t="s">
        <v>16</v>
      </c>
      <c r="B40" s="20">
        <v>5</v>
      </c>
      <c r="C40" s="20">
        <v>3955.95</v>
      </c>
    </row>
    <row r="41" spans="1:3" x14ac:dyDescent="0.2">
      <c r="A41" s="20" t="s">
        <v>16</v>
      </c>
      <c r="B41" s="20">
        <v>1</v>
      </c>
      <c r="C41" s="20">
        <v>791.19</v>
      </c>
    </row>
    <row r="42" spans="1:3" x14ac:dyDescent="0.2">
      <c r="A42" s="20" t="s">
        <v>30</v>
      </c>
      <c r="B42" s="20">
        <v>5</v>
      </c>
      <c r="C42" s="20">
        <v>4224.1499999999996</v>
      </c>
    </row>
    <row r="43" spans="1:3" x14ac:dyDescent="0.2">
      <c r="A43" s="20" t="s">
        <v>30</v>
      </c>
      <c r="B43" s="20">
        <v>6</v>
      </c>
      <c r="C43" s="20">
        <v>5068.9799999999996</v>
      </c>
    </row>
    <row r="44" spans="1:3" x14ac:dyDescent="0.2">
      <c r="A44" s="20" t="s">
        <v>16</v>
      </c>
      <c r="B44" s="20">
        <v>7</v>
      </c>
      <c r="C44" s="20">
        <v>145.25</v>
      </c>
    </row>
    <row r="45" spans="1:3" x14ac:dyDescent="0.2">
      <c r="A45" s="20" t="s">
        <v>16</v>
      </c>
      <c r="B45" s="20">
        <v>7</v>
      </c>
      <c r="C45" s="20">
        <v>5538.33</v>
      </c>
    </row>
    <row r="46" spans="1:3" x14ac:dyDescent="0.2">
      <c r="A46" s="20" t="s">
        <v>20</v>
      </c>
      <c r="B46" s="20">
        <v>7</v>
      </c>
      <c r="C46" s="20">
        <v>1729.21</v>
      </c>
    </row>
    <row r="47" spans="1:3" x14ac:dyDescent="0.2">
      <c r="A47" s="20" t="s">
        <v>16</v>
      </c>
      <c r="B47" s="20">
        <v>8</v>
      </c>
      <c r="C47" s="20">
        <v>6329.52</v>
      </c>
    </row>
    <row r="48" spans="1:3" x14ac:dyDescent="0.2">
      <c r="A48" s="20" t="s">
        <v>16</v>
      </c>
      <c r="B48" s="20">
        <v>7</v>
      </c>
      <c r="C48" s="20">
        <v>145.25</v>
      </c>
    </row>
    <row r="49" spans="1:3" x14ac:dyDescent="0.2">
      <c r="A49" s="20" t="s">
        <v>30</v>
      </c>
      <c r="B49" s="20">
        <v>7</v>
      </c>
      <c r="C49" s="20">
        <v>5913.81</v>
      </c>
    </row>
    <row r="50" spans="1:3" x14ac:dyDescent="0.2">
      <c r="A50" s="20" t="s">
        <v>16</v>
      </c>
      <c r="B50" s="20">
        <v>10</v>
      </c>
      <c r="C50" s="20">
        <v>207.5</v>
      </c>
    </row>
    <row r="51" spans="1:3" x14ac:dyDescent="0.2">
      <c r="A51" s="20" t="s">
        <v>20</v>
      </c>
      <c r="B51" s="20">
        <v>10</v>
      </c>
      <c r="C51" s="20">
        <v>2470.3000000000002</v>
      </c>
    </row>
    <row r="52" spans="1:3" x14ac:dyDescent="0.2">
      <c r="A52" s="20" t="s">
        <v>20</v>
      </c>
      <c r="B52" s="20">
        <v>10</v>
      </c>
      <c r="C52" s="20">
        <v>2470.3000000000002</v>
      </c>
    </row>
    <row r="53" spans="1:3" x14ac:dyDescent="0.2">
      <c r="A53" s="20" t="s">
        <v>16</v>
      </c>
      <c r="B53" s="20">
        <v>7</v>
      </c>
      <c r="C53" s="20">
        <v>145.25</v>
      </c>
    </row>
    <row r="54" spans="1:3" x14ac:dyDescent="0.2">
      <c r="A54" s="20" t="s">
        <v>30</v>
      </c>
      <c r="B54" s="20">
        <v>6</v>
      </c>
      <c r="C54" s="20">
        <v>5068.9799999999996</v>
      </c>
    </row>
    <row r="55" spans="1:3" x14ac:dyDescent="0.2">
      <c r="A55" s="20" t="s">
        <v>24</v>
      </c>
      <c r="B55" s="20">
        <v>9</v>
      </c>
      <c r="C55" s="20">
        <v>4175.6400000000003</v>
      </c>
    </row>
    <row r="56" spans="1:3" x14ac:dyDescent="0.2">
      <c r="A56" s="20" t="s">
        <v>16</v>
      </c>
      <c r="B56" s="20">
        <v>3</v>
      </c>
      <c r="C56" s="20">
        <v>62.25</v>
      </c>
    </row>
    <row r="57" spans="1:3" x14ac:dyDescent="0.2">
      <c r="A57" s="20" t="s">
        <v>24</v>
      </c>
      <c r="B57" s="20">
        <v>4</v>
      </c>
      <c r="C57" s="20">
        <v>1855.84</v>
      </c>
    </row>
    <row r="58" spans="1:3" x14ac:dyDescent="0.2">
      <c r="A58" s="20" t="s">
        <v>30</v>
      </c>
      <c r="B58" s="20">
        <v>9</v>
      </c>
      <c r="C58" s="20">
        <v>7603.47</v>
      </c>
    </row>
    <row r="59" spans="1:3" x14ac:dyDescent="0.2">
      <c r="A59" s="20" t="s">
        <v>20</v>
      </c>
      <c r="B59" s="20">
        <v>6</v>
      </c>
      <c r="C59" s="20">
        <v>1482.18</v>
      </c>
    </row>
    <row r="60" spans="1:3" x14ac:dyDescent="0.2">
      <c r="A60" s="20" t="s">
        <v>16</v>
      </c>
      <c r="B60" s="20">
        <v>8</v>
      </c>
      <c r="C60" s="20">
        <v>166</v>
      </c>
    </row>
    <row r="61" spans="1:3" x14ac:dyDescent="0.2">
      <c r="A61" s="20" t="s">
        <v>16</v>
      </c>
      <c r="B61" s="20">
        <v>5</v>
      </c>
      <c r="C61" s="20">
        <v>3955.95</v>
      </c>
    </row>
    <row r="62" spans="1:3" x14ac:dyDescent="0.2">
      <c r="A62" s="20" t="s">
        <v>24</v>
      </c>
      <c r="B62" s="20">
        <v>7</v>
      </c>
      <c r="C62" s="20">
        <v>3247.72</v>
      </c>
    </row>
    <row r="63" spans="1:3" x14ac:dyDescent="0.2">
      <c r="A63" s="20" t="s">
        <v>24</v>
      </c>
      <c r="B63" s="20">
        <v>1</v>
      </c>
      <c r="C63" s="20">
        <v>463.96</v>
      </c>
    </row>
    <row r="64" spans="1:3" x14ac:dyDescent="0.2">
      <c r="A64" s="20" t="s">
        <v>24</v>
      </c>
      <c r="B64" s="20">
        <v>4</v>
      </c>
      <c r="C64" s="20">
        <v>1855.84</v>
      </c>
    </row>
    <row r="65" spans="1:3" x14ac:dyDescent="0.2">
      <c r="A65" s="20" t="s">
        <v>20</v>
      </c>
      <c r="B65" s="20">
        <v>6</v>
      </c>
      <c r="C65" s="20">
        <v>1482.18</v>
      </c>
    </row>
    <row r="66" spans="1:3" x14ac:dyDescent="0.2">
      <c r="A66" s="20" t="s">
        <v>16</v>
      </c>
      <c r="B66" s="20">
        <v>2</v>
      </c>
      <c r="C66" s="20">
        <v>1582.38</v>
      </c>
    </row>
    <row r="67" spans="1:3" x14ac:dyDescent="0.2">
      <c r="A67" s="20" t="s">
        <v>20</v>
      </c>
      <c r="B67" s="20">
        <v>8</v>
      </c>
      <c r="C67" s="20">
        <v>1976.24</v>
      </c>
    </row>
    <row r="68" spans="1:3" x14ac:dyDescent="0.2">
      <c r="A68" s="20" t="s">
        <v>24</v>
      </c>
      <c r="B68" s="20">
        <v>1</v>
      </c>
      <c r="C68" s="20">
        <v>463.96</v>
      </c>
    </row>
    <row r="69" spans="1:3" x14ac:dyDescent="0.2">
      <c r="A69" s="20" t="s">
        <v>16</v>
      </c>
      <c r="B69" s="20">
        <v>8</v>
      </c>
      <c r="C69" s="20">
        <v>6329.52</v>
      </c>
    </row>
    <row r="70" spans="1:3" x14ac:dyDescent="0.2">
      <c r="A70" s="20" t="s">
        <v>24</v>
      </c>
      <c r="B70" s="20">
        <v>4</v>
      </c>
      <c r="C70" s="20">
        <v>1855.84</v>
      </c>
    </row>
    <row r="71" spans="1:3" x14ac:dyDescent="0.2">
      <c r="A71" s="20" t="s">
        <v>16</v>
      </c>
      <c r="B71" s="20">
        <v>3</v>
      </c>
      <c r="C71" s="20">
        <v>2373.5700000000002</v>
      </c>
    </row>
    <row r="72" spans="1:3" x14ac:dyDescent="0.2">
      <c r="A72" s="20" t="s">
        <v>16</v>
      </c>
      <c r="B72" s="20">
        <v>3</v>
      </c>
      <c r="C72" s="20">
        <v>2373.5700000000002</v>
      </c>
    </row>
    <row r="73" spans="1:3" x14ac:dyDescent="0.2">
      <c r="A73" s="20" t="s">
        <v>16</v>
      </c>
      <c r="B73" s="20">
        <v>3</v>
      </c>
      <c r="C73" s="20">
        <v>2373.5700000000002</v>
      </c>
    </row>
    <row r="74" spans="1:3" x14ac:dyDescent="0.2">
      <c r="A74" s="20" t="s">
        <v>20</v>
      </c>
      <c r="B74" s="20">
        <v>7</v>
      </c>
      <c r="C74" s="20">
        <v>1729.21</v>
      </c>
    </row>
    <row r="75" spans="1:3" x14ac:dyDescent="0.2">
      <c r="A75" s="20" t="s">
        <v>30</v>
      </c>
      <c r="B75" s="20">
        <v>2</v>
      </c>
      <c r="C75" s="20">
        <v>1689.66</v>
      </c>
    </row>
    <row r="76" spans="1:3" x14ac:dyDescent="0.2">
      <c r="A76" s="20" t="s">
        <v>16</v>
      </c>
      <c r="B76" s="20">
        <v>7</v>
      </c>
      <c r="C76" s="20">
        <v>145.25</v>
      </c>
    </row>
    <row r="77" spans="1:3" x14ac:dyDescent="0.2">
      <c r="A77" s="20" t="s">
        <v>16</v>
      </c>
      <c r="B77" s="20">
        <v>3</v>
      </c>
      <c r="C77" s="20">
        <v>62.25</v>
      </c>
    </row>
    <row r="78" spans="1:3" x14ac:dyDescent="0.2">
      <c r="A78" s="20" t="s">
        <v>30</v>
      </c>
      <c r="B78" s="20">
        <v>9</v>
      </c>
      <c r="C78" s="20">
        <v>7603.47</v>
      </c>
    </row>
    <row r="79" spans="1:3" x14ac:dyDescent="0.2">
      <c r="A79" s="20" t="s">
        <v>20</v>
      </c>
      <c r="B79" s="20">
        <v>9</v>
      </c>
      <c r="C79" s="20">
        <v>2223.27</v>
      </c>
    </row>
    <row r="80" spans="1:3" x14ac:dyDescent="0.2">
      <c r="A80" s="20" t="s">
        <v>20</v>
      </c>
      <c r="B80" s="20">
        <v>8</v>
      </c>
      <c r="C80" s="20">
        <v>1976.24</v>
      </c>
    </row>
    <row r="81" spans="1:3" x14ac:dyDescent="0.2">
      <c r="A81" s="20" t="s">
        <v>30</v>
      </c>
      <c r="B81" s="20">
        <v>9</v>
      </c>
      <c r="C81" s="20">
        <v>7603.47</v>
      </c>
    </row>
    <row r="82" spans="1:3" x14ac:dyDescent="0.2">
      <c r="A82" s="20" t="s">
        <v>16</v>
      </c>
      <c r="B82" s="20">
        <v>3</v>
      </c>
      <c r="C82" s="20">
        <v>2373.5700000000002</v>
      </c>
    </row>
    <row r="83" spans="1:3" x14ac:dyDescent="0.2">
      <c r="A83" s="20" t="s">
        <v>20</v>
      </c>
      <c r="B83" s="20">
        <v>6</v>
      </c>
      <c r="C83" s="20">
        <v>1482.18</v>
      </c>
    </row>
    <row r="84" spans="1:3" x14ac:dyDescent="0.2">
      <c r="A84" s="20" t="s">
        <v>16</v>
      </c>
      <c r="B84" s="20">
        <v>2</v>
      </c>
      <c r="C84" s="20">
        <v>41.5</v>
      </c>
    </row>
    <row r="85" spans="1:3" x14ac:dyDescent="0.2">
      <c r="A85" s="20" t="s">
        <v>16</v>
      </c>
      <c r="B85" s="20">
        <v>4</v>
      </c>
      <c r="C85" s="20">
        <v>3164.76</v>
      </c>
    </row>
    <row r="86" spans="1:3" x14ac:dyDescent="0.2">
      <c r="A86" s="20" t="s">
        <v>16</v>
      </c>
      <c r="B86" s="20">
        <v>3</v>
      </c>
      <c r="C86" s="20">
        <v>2373.5700000000002</v>
      </c>
    </row>
    <row r="87" spans="1:3" x14ac:dyDescent="0.2">
      <c r="A87" s="20" t="s">
        <v>16</v>
      </c>
      <c r="B87" s="20">
        <v>4</v>
      </c>
      <c r="C87" s="20">
        <v>3164.76</v>
      </c>
    </row>
    <row r="88" spans="1:3" x14ac:dyDescent="0.2">
      <c r="A88" s="20" t="s">
        <v>20</v>
      </c>
      <c r="B88" s="20">
        <v>1</v>
      </c>
      <c r="C88" s="20">
        <v>247.03</v>
      </c>
    </row>
    <row r="89" spans="1:3" x14ac:dyDescent="0.2">
      <c r="A89" s="20" t="s">
        <v>30</v>
      </c>
      <c r="B89" s="20">
        <v>4</v>
      </c>
      <c r="C89" s="20">
        <v>3379.32</v>
      </c>
    </row>
    <row r="90" spans="1:3" x14ac:dyDescent="0.2">
      <c r="A90" s="20" t="s">
        <v>16</v>
      </c>
      <c r="B90" s="20">
        <v>1</v>
      </c>
      <c r="C90" s="20">
        <v>20.75</v>
      </c>
    </row>
    <row r="91" spans="1:3" x14ac:dyDescent="0.2">
      <c r="A91" s="20" t="s">
        <v>20</v>
      </c>
      <c r="B91" s="20">
        <v>3</v>
      </c>
      <c r="C91" s="20">
        <v>741.09</v>
      </c>
    </row>
    <row r="92" spans="1:3" x14ac:dyDescent="0.2">
      <c r="A92" s="20" t="s">
        <v>16</v>
      </c>
      <c r="B92" s="20">
        <v>8</v>
      </c>
      <c r="C92" s="20">
        <v>166</v>
      </c>
    </row>
    <row r="93" spans="1:3" x14ac:dyDescent="0.2">
      <c r="A93" s="20" t="s">
        <v>16</v>
      </c>
      <c r="B93" s="20">
        <v>5</v>
      </c>
      <c r="C93" s="20">
        <v>3955.95</v>
      </c>
    </row>
    <row r="94" spans="1:3" x14ac:dyDescent="0.2">
      <c r="A94" s="20" t="s">
        <v>20</v>
      </c>
      <c r="B94" s="20">
        <v>3</v>
      </c>
      <c r="C94" s="20">
        <v>741.09</v>
      </c>
    </row>
    <row r="95" spans="1:3" x14ac:dyDescent="0.2">
      <c r="A95" s="20" t="s">
        <v>30</v>
      </c>
      <c r="B95" s="20">
        <v>2</v>
      </c>
      <c r="C95" s="20">
        <v>1689.66</v>
      </c>
    </row>
    <row r="96" spans="1:3" x14ac:dyDescent="0.2">
      <c r="A96" s="20" t="s">
        <v>16</v>
      </c>
      <c r="B96" s="20">
        <v>9</v>
      </c>
      <c r="C96" s="20">
        <v>7120.71</v>
      </c>
    </row>
    <row r="97" spans="1:3" x14ac:dyDescent="0.2">
      <c r="A97" s="20" t="s">
        <v>16</v>
      </c>
      <c r="B97" s="20">
        <v>1</v>
      </c>
      <c r="C97" s="20">
        <v>20.75</v>
      </c>
    </row>
    <row r="98" spans="1:3" x14ac:dyDescent="0.2">
      <c r="A98" s="20" t="s">
        <v>16</v>
      </c>
      <c r="B98" s="20">
        <v>2</v>
      </c>
      <c r="C98" s="20">
        <v>41.5</v>
      </c>
    </row>
    <row r="99" spans="1:3" x14ac:dyDescent="0.2">
      <c r="A99" s="20" t="s">
        <v>24</v>
      </c>
      <c r="B99" s="20">
        <v>10</v>
      </c>
      <c r="C99" s="20">
        <v>4639.6000000000004</v>
      </c>
    </row>
    <row r="100" spans="1:3" x14ac:dyDescent="0.2">
      <c r="A100" s="20" t="s">
        <v>20</v>
      </c>
      <c r="B100" s="20">
        <v>4</v>
      </c>
      <c r="C100" s="20">
        <v>988.12</v>
      </c>
    </row>
    <row r="101" spans="1:3" x14ac:dyDescent="0.2">
      <c r="A101" s="20" t="s">
        <v>16</v>
      </c>
      <c r="B101" s="20">
        <v>2</v>
      </c>
      <c r="C101" s="20">
        <v>1582.38</v>
      </c>
    </row>
    <row r="102" spans="1:3" x14ac:dyDescent="0.2">
      <c r="A102" s="20" t="s">
        <v>24</v>
      </c>
      <c r="B102" s="20">
        <v>3</v>
      </c>
      <c r="C102" s="20">
        <v>1391.88</v>
      </c>
    </row>
    <row r="103" spans="1:3" x14ac:dyDescent="0.2">
      <c r="A103" s="20" t="s">
        <v>20</v>
      </c>
      <c r="B103" s="20">
        <v>3</v>
      </c>
      <c r="C103" s="20">
        <v>741.09</v>
      </c>
    </row>
    <row r="104" spans="1:3" x14ac:dyDescent="0.2">
      <c r="A104" s="20" t="s">
        <v>30</v>
      </c>
      <c r="B104" s="20">
        <v>4</v>
      </c>
      <c r="C104" s="20">
        <v>3379.32</v>
      </c>
    </row>
    <row r="105" spans="1:3" x14ac:dyDescent="0.2">
      <c r="A105" s="20" t="s">
        <v>16</v>
      </c>
      <c r="B105" s="20">
        <v>10</v>
      </c>
      <c r="C105" s="20">
        <v>207.5</v>
      </c>
    </row>
    <row r="106" spans="1:3" x14ac:dyDescent="0.2">
      <c r="A106" s="20" t="s">
        <v>16</v>
      </c>
      <c r="B106" s="20">
        <v>1</v>
      </c>
      <c r="C106" s="20">
        <v>791.19</v>
      </c>
    </row>
    <row r="107" spans="1:3" x14ac:dyDescent="0.2">
      <c r="A107" s="20" t="s">
        <v>16</v>
      </c>
      <c r="B107" s="20">
        <v>2</v>
      </c>
      <c r="C107" s="20">
        <v>41.5</v>
      </c>
    </row>
    <row r="108" spans="1:3" x14ac:dyDescent="0.2">
      <c r="A108" s="20" t="s">
        <v>16</v>
      </c>
      <c r="B108" s="20">
        <v>3</v>
      </c>
      <c r="C108" s="20">
        <v>62.25</v>
      </c>
    </row>
    <row r="109" spans="1:3" x14ac:dyDescent="0.2">
      <c r="A109" s="20" t="s">
        <v>16</v>
      </c>
      <c r="B109" s="20">
        <v>8</v>
      </c>
      <c r="C109" s="20">
        <v>166</v>
      </c>
    </row>
    <row r="110" spans="1:3" x14ac:dyDescent="0.2">
      <c r="A110" s="20" t="s">
        <v>20</v>
      </c>
      <c r="B110" s="20">
        <v>6</v>
      </c>
      <c r="C110" s="20">
        <v>1482.18</v>
      </c>
    </row>
    <row r="111" spans="1:3" x14ac:dyDescent="0.2">
      <c r="A111" s="20" t="s">
        <v>24</v>
      </c>
      <c r="B111" s="20">
        <v>4</v>
      </c>
      <c r="C111" s="20">
        <v>1855.84</v>
      </c>
    </row>
    <row r="112" spans="1:3" x14ac:dyDescent="0.2">
      <c r="A112" s="20" t="s">
        <v>16</v>
      </c>
      <c r="B112" s="20">
        <v>9</v>
      </c>
      <c r="C112" s="20">
        <v>186.75</v>
      </c>
    </row>
    <row r="113" spans="1:3" x14ac:dyDescent="0.2">
      <c r="A113" s="20" t="s">
        <v>16</v>
      </c>
      <c r="B113" s="20">
        <v>10</v>
      </c>
      <c r="C113" s="20">
        <v>207.5</v>
      </c>
    </row>
    <row r="114" spans="1:3" x14ac:dyDescent="0.2">
      <c r="A114" s="20" t="s">
        <v>20</v>
      </c>
      <c r="B114" s="20">
        <v>9</v>
      </c>
      <c r="C114" s="20">
        <v>2223.27</v>
      </c>
    </row>
    <row r="115" spans="1:3" x14ac:dyDescent="0.2">
      <c r="A115" s="20" t="s">
        <v>20</v>
      </c>
      <c r="B115" s="20">
        <v>9</v>
      </c>
      <c r="C115" s="20">
        <v>2223.27</v>
      </c>
    </row>
    <row r="116" spans="1:3" x14ac:dyDescent="0.2">
      <c r="A116" s="20" t="s">
        <v>16</v>
      </c>
      <c r="B116" s="20">
        <v>6</v>
      </c>
      <c r="C116" s="20">
        <v>4747.1400000000003</v>
      </c>
    </row>
    <row r="117" spans="1:3" x14ac:dyDescent="0.2">
      <c r="A117" s="20" t="s">
        <v>16</v>
      </c>
      <c r="B117" s="20">
        <v>1</v>
      </c>
      <c r="C117" s="20">
        <v>791.19</v>
      </c>
    </row>
    <row r="118" spans="1:3" x14ac:dyDescent="0.2">
      <c r="A118" s="20" t="s">
        <v>30</v>
      </c>
      <c r="B118" s="20">
        <v>1</v>
      </c>
      <c r="C118" s="20">
        <v>844.83</v>
      </c>
    </row>
    <row r="119" spans="1:3" x14ac:dyDescent="0.2">
      <c r="A119" s="20" t="s">
        <v>20</v>
      </c>
      <c r="B119" s="20">
        <v>1</v>
      </c>
      <c r="C119" s="20">
        <v>247.03</v>
      </c>
    </row>
    <row r="120" spans="1:3" x14ac:dyDescent="0.2">
      <c r="A120" s="20" t="s">
        <v>24</v>
      </c>
      <c r="B120" s="20">
        <v>9</v>
      </c>
      <c r="C120" s="20">
        <v>4175.6400000000003</v>
      </c>
    </row>
    <row r="121" spans="1:3" x14ac:dyDescent="0.2">
      <c r="A121" s="20" t="s">
        <v>24</v>
      </c>
      <c r="B121" s="20">
        <v>9</v>
      </c>
      <c r="C121" s="20">
        <v>4175.6400000000003</v>
      </c>
    </row>
    <row r="122" spans="1:3" x14ac:dyDescent="0.2">
      <c r="A122" s="20" t="s">
        <v>30</v>
      </c>
      <c r="B122" s="20">
        <v>2</v>
      </c>
      <c r="C122" s="20">
        <v>1689.66</v>
      </c>
    </row>
    <row r="123" spans="1:3" x14ac:dyDescent="0.2">
      <c r="A123" s="20" t="s">
        <v>20</v>
      </c>
      <c r="B123" s="20">
        <v>6</v>
      </c>
      <c r="C123" s="20">
        <v>1482.18</v>
      </c>
    </row>
    <row r="124" spans="1:3" x14ac:dyDescent="0.2">
      <c r="A124" s="20" t="s">
        <v>16</v>
      </c>
      <c r="B124" s="20">
        <v>9</v>
      </c>
      <c r="C124" s="20">
        <v>186.75</v>
      </c>
    </row>
    <row r="125" spans="1:3" x14ac:dyDescent="0.2">
      <c r="A125" s="20" t="s">
        <v>16</v>
      </c>
      <c r="B125" s="20">
        <v>5</v>
      </c>
      <c r="C125" s="20">
        <v>103.75</v>
      </c>
    </row>
    <row r="126" spans="1:3" x14ac:dyDescent="0.2">
      <c r="A126" s="20" t="s">
        <v>16</v>
      </c>
      <c r="B126" s="20">
        <v>7</v>
      </c>
      <c r="C126" s="20">
        <v>5538.33</v>
      </c>
    </row>
    <row r="127" spans="1:3" x14ac:dyDescent="0.2">
      <c r="A127" s="20" t="s">
        <v>30</v>
      </c>
      <c r="B127" s="20">
        <v>8</v>
      </c>
      <c r="C127" s="20">
        <v>6758.64</v>
      </c>
    </row>
    <row r="128" spans="1:3" x14ac:dyDescent="0.2">
      <c r="A128" s="20" t="s">
        <v>16</v>
      </c>
      <c r="B128" s="20">
        <v>1</v>
      </c>
      <c r="C128" s="20">
        <v>791.19</v>
      </c>
    </row>
    <row r="129" spans="1:3" x14ac:dyDescent="0.2">
      <c r="A129" s="20" t="s">
        <v>24</v>
      </c>
      <c r="B129" s="20">
        <v>4</v>
      </c>
      <c r="C129" s="20">
        <v>1855.84</v>
      </c>
    </row>
    <row r="130" spans="1:3" x14ac:dyDescent="0.2">
      <c r="A130" s="20" t="s">
        <v>24</v>
      </c>
      <c r="B130" s="20">
        <v>8</v>
      </c>
      <c r="C130" s="20">
        <v>3711.68</v>
      </c>
    </row>
    <row r="131" spans="1:3" x14ac:dyDescent="0.2">
      <c r="A131" s="20" t="s">
        <v>16</v>
      </c>
      <c r="B131" s="20">
        <v>4</v>
      </c>
      <c r="C131" s="20">
        <v>3164.76</v>
      </c>
    </row>
    <row r="132" spans="1:3" x14ac:dyDescent="0.2">
      <c r="A132" s="20" t="s">
        <v>30</v>
      </c>
      <c r="B132" s="20">
        <v>7</v>
      </c>
      <c r="C132" s="20">
        <v>5913.81</v>
      </c>
    </row>
    <row r="133" spans="1:3" x14ac:dyDescent="0.2">
      <c r="A133" s="20" t="s">
        <v>24</v>
      </c>
      <c r="B133" s="20">
        <v>8</v>
      </c>
      <c r="C133" s="20">
        <v>3711.68</v>
      </c>
    </row>
    <row r="134" spans="1:3" x14ac:dyDescent="0.2">
      <c r="A134" s="20" t="s">
        <v>30</v>
      </c>
      <c r="B134" s="20">
        <v>8</v>
      </c>
      <c r="C134" s="20">
        <v>6758.64</v>
      </c>
    </row>
    <row r="135" spans="1:3" x14ac:dyDescent="0.2">
      <c r="A135" s="20" t="s">
        <v>16</v>
      </c>
      <c r="B135" s="20">
        <v>8</v>
      </c>
      <c r="C135" s="20">
        <v>166</v>
      </c>
    </row>
    <row r="136" spans="1:3" x14ac:dyDescent="0.2">
      <c r="A136" s="20" t="s">
        <v>16</v>
      </c>
      <c r="B136" s="20">
        <v>1</v>
      </c>
      <c r="C136" s="20">
        <v>20.75</v>
      </c>
    </row>
    <row r="137" spans="1:3" x14ac:dyDescent="0.2">
      <c r="A137" s="20" t="s">
        <v>16</v>
      </c>
      <c r="B137" s="20">
        <v>6</v>
      </c>
      <c r="C137" s="20">
        <v>4747.1400000000003</v>
      </c>
    </row>
    <row r="138" spans="1:3" x14ac:dyDescent="0.2">
      <c r="A138" s="20" t="s">
        <v>16</v>
      </c>
      <c r="B138" s="20">
        <v>6</v>
      </c>
      <c r="C138" s="20">
        <v>124.5</v>
      </c>
    </row>
    <row r="139" spans="1:3" x14ac:dyDescent="0.2">
      <c r="A139" s="20" t="s">
        <v>24</v>
      </c>
      <c r="B139" s="20">
        <v>3</v>
      </c>
      <c r="C139" s="20">
        <v>1391.88</v>
      </c>
    </row>
    <row r="140" spans="1:3" x14ac:dyDescent="0.2">
      <c r="A140" s="20" t="s">
        <v>30</v>
      </c>
      <c r="B140" s="20">
        <v>8</v>
      </c>
      <c r="C140" s="20">
        <v>6758.64</v>
      </c>
    </row>
    <row r="141" spans="1:3" x14ac:dyDescent="0.2">
      <c r="A141" s="20" t="s">
        <v>16</v>
      </c>
      <c r="B141" s="20">
        <v>8</v>
      </c>
      <c r="C141" s="20">
        <v>6329.52</v>
      </c>
    </row>
    <row r="142" spans="1:3" x14ac:dyDescent="0.2">
      <c r="A142" s="20" t="s">
        <v>24</v>
      </c>
      <c r="B142" s="20">
        <v>2</v>
      </c>
      <c r="C142" s="20">
        <v>927.92</v>
      </c>
    </row>
    <row r="143" spans="1:3" x14ac:dyDescent="0.2">
      <c r="A143" s="20" t="s">
        <v>24</v>
      </c>
      <c r="B143" s="20">
        <v>8</v>
      </c>
      <c r="C143" s="20">
        <v>3711.68</v>
      </c>
    </row>
    <row r="144" spans="1:3" x14ac:dyDescent="0.2">
      <c r="A144" s="20" t="s">
        <v>16</v>
      </c>
      <c r="B144" s="20">
        <v>9</v>
      </c>
      <c r="C144" s="20">
        <v>7120.71</v>
      </c>
    </row>
    <row r="145" spans="1:3" x14ac:dyDescent="0.2">
      <c r="A145" s="20" t="s">
        <v>30</v>
      </c>
      <c r="B145" s="20">
        <v>1</v>
      </c>
      <c r="C145" s="20">
        <v>844.83</v>
      </c>
    </row>
    <row r="146" spans="1:3" x14ac:dyDescent="0.2">
      <c r="A146" s="20" t="s">
        <v>16</v>
      </c>
      <c r="B146" s="20">
        <v>8</v>
      </c>
      <c r="C146" s="20">
        <v>6329.52</v>
      </c>
    </row>
    <row r="147" spans="1:3" x14ac:dyDescent="0.2">
      <c r="A147" s="20" t="s">
        <v>16</v>
      </c>
      <c r="B147" s="20">
        <v>1</v>
      </c>
      <c r="C147" s="20">
        <v>20.75</v>
      </c>
    </row>
    <row r="148" spans="1:3" x14ac:dyDescent="0.2">
      <c r="A148" s="20" t="s">
        <v>24</v>
      </c>
      <c r="B148" s="20">
        <v>3</v>
      </c>
      <c r="C148" s="20">
        <v>1391.88</v>
      </c>
    </row>
    <row r="149" spans="1:3" x14ac:dyDescent="0.2">
      <c r="A149" s="20" t="s">
        <v>24</v>
      </c>
      <c r="B149" s="20">
        <v>8</v>
      </c>
      <c r="C149" s="20">
        <v>3711.68</v>
      </c>
    </row>
    <row r="150" spans="1:3" x14ac:dyDescent="0.2">
      <c r="A150" s="20" t="s">
        <v>24</v>
      </c>
      <c r="B150" s="20">
        <v>9</v>
      </c>
      <c r="C150" s="20">
        <v>4175.6400000000003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92DE4-9C79-0948-9665-7D9A0BF313F9}">
  <dimension ref="A1:V150"/>
  <sheetViews>
    <sheetView topLeftCell="H1" zoomScale="114" workbookViewId="0">
      <selection activeCell="P16" sqref="P16"/>
    </sheetView>
  </sheetViews>
  <sheetFormatPr baseColWidth="10" defaultRowHeight="16" x14ac:dyDescent="0.2"/>
  <cols>
    <col min="1" max="1" width="11.1640625" style="1" bestFit="1" customWidth="1"/>
    <col min="2" max="2" width="4.33203125" style="1" bestFit="1" customWidth="1"/>
    <col min="3" max="3" width="7.1640625" style="1" bestFit="1" customWidth="1"/>
    <col min="4" max="4" width="14.1640625" style="1" bestFit="1" customWidth="1"/>
    <col min="5" max="5" width="12" style="1" bestFit="1" customWidth="1"/>
    <col min="6" max="6" width="8.6640625" style="1" bestFit="1" customWidth="1"/>
    <col min="7" max="7" width="6.5" style="1" bestFit="1" customWidth="1"/>
    <col min="8" max="8" width="11.5" style="1" bestFit="1" customWidth="1"/>
    <col min="9" max="9" width="15" style="1" bestFit="1" customWidth="1"/>
    <col min="10" max="10" width="10.1640625" style="1" bestFit="1" customWidth="1"/>
    <col min="11" max="11" width="9.33203125" style="1" bestFit="1" customWidth="1"/>
    <col min="12" max="12" width="8.1640625" style="1" bestFit="1" customWidth="1"/>
    <col min="13" max="13" width="13.1640625" style="1" bestFit="1" customWidth="1"/>
    <col min="14" max="14" width="11.6640625" style="1" bestFit="1" customWidth="1"/>
    <col min="15" max="15" width="12.6640625" style="1" bestFit="1" customWidth="1"/>
    <col min="16" max="16" width="13" style="1" bestFit="1" customWidth="1"/>
    <col min="17" max="17" width="29.6640625" style="1" customWidth="1"/>
    <col min="18" max="18" width="10.83203125" style="1"/>
    <col min="19" max="19" width="23.83203125" style="1" bestFit="1" customWidth="1"/>
    <col min="20" max="20" width="10.83203125" style="1"/>
    <col min="21" max="21" width="9.5" style="1" bestFit="1" customWidth="1"/>
    <col min="22" max="22" width="10.33203125" style="1" bestFit="1" customWidth="1"/>
    <col min="23" max="16384" width="10.83203125" style="1"/>
  </cols>
  <sheetData>
    <row r="1" spans="1:22"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4" t="s">
        <v>33</v>
      </c>
      <c r="P1" s="4" t="s">
        <v>34</v>
      </c>
      <c r="S1" s="5" t="s">
        <v>35</v>
      </c>
      <c r="U1" s="10" t="s">
        <v>36</v>
      </c>
      <c r="V1" s="9" t="s">
        <v>37</v>
      </c>
    </row>
    <row r="2" spans="1:22" x14ac:dyDescent="0.2">
      <c r="A2" s="2">
        <v>1</v>
      </c>
      <c r="B2" s="2">
        <v>53</v>
      </c>
      <c r="C2" s="2" t="s">
        <v>14</v>
      </c>
      <c r="D2" s="2" t="s">
        <v>15</v>
      </c>
      <c r="E2" s="2" t="s">
        <v>16</v>
      </c>
      <c r="F2" s="2" t="s">
        <v>17</v>
      </c>
      <c r="G2" s="2">
        <v>2</v>
      </c>
      <c r="H2" s="2" t="s">
        <v>18</v>
      </c>
      <c r="I2" s="2" t="s">
        <v>19</v>
      </c>
      <c r="J2" s="2">
        <v>5538.33</v>
      </c>
      <c r="K2" s="2">
        <v>791.19</v>
      </c>
      <c r="L2" s="2">
        <v>7</v>
      </c>
      <c r="M2" s="3">
        <v>45371</v>
      </c>
      <c r="N2" s="2">
        <v>40.21</v>
      </c>
      <c r="O2" s="4">
        <v>7</v>
      </c>
      <c r="P2" s="4" t="str">
        <f>VLOOKUP(O2,A1:E150,5,FALSE)</f>
        <v>Smartwatch</v>
      </c>
      <c r="S2" s="11" t="str">
        <f>INDEX(E2:E150,MATCH(J10,J2:J150,0))</f>
        <v>Smartphone</v>
      </c>
      <c r="U2" s="10">
        <v>24</v>
      </c>
      <c r="V2" s="10" t="str">
        <f>IF(U2&lt;20,"YOUNG",IF(U2&lt;35,"ADULT","SENIOR"))</f>
        <v>ADULT</v>
      </c>
    </row>
    <row r="3" spans="1:22" x14ac:dyDescent="0.2">
      <c r="A3" s="2">
        <v>2</v>
      </c>
      <c r="B3" s="2">
        <v>53</v>
      </c>
      <c r="C3" s="2" t="s">
        <v>14</v>
      </c>
      <c r="D3" s="2" t="s">
        <v>15</v>
      </c>
      <c r="E3" s="2" t="s">
        <v>20</v>
      </c>
      <c r="F3" s="2" t="s">
        <v>21</v>
      </c>
      <c r="G3" s="2">
        <v>3</v>
      </c>
      <c r="H3" s="2" t="s">
        <v>22</v>
      </c>
      <c r="I3" s="2" t="s">
        <v>23</v>
      </c>
      <c r="J3" s="2">
        <v>741.09</v>
      </c>
      <c r="K3" s="2">
        <v>247.03</v>
      </c>
      <c r="L3" s="2">
        <v>3</v>
      </c>
      <c r="M3" s="3">
        <v>45402</v>
      </c>
      <c r="N3" s="2">
        <v>26.09</v>
      </c>
    </row>
    <row r="4" spans="1:22" x14ac:dyDescent="0.2">
      <c r="A4" s="2">
        <v>3</v>
      </c>
      <c r="B4" s="2">
        <v>41</v>
      </c>
      <c r="C4" s="2" t="s">
        <v>14</v>
      </c>
      <c r="D4" s="2" t="s">
        <v>15</v>
      </c>
      <c r="E4" s="2" t="s">
        <v>24</v>
      </c>
      <c r="F4" s="2" t="s">
        <v>25</v>
      </c>
      <c r="G4" s="2">
        <v>3</v>
      </c>
      <c r="H4" s="2" t="s">
        <v>22</v>
      </c>
      <c r="I4" s="2" t="s">
        <v>19</v>
      </c>
      <c r="J4" s="2">
        <v>1855.84</v>
      </c>
      <c r="K4" s="2">
        <v>463.96</v>
      </c>
      <c r="L4" s="2">
        <v>4</v>
      </c>
      <c r="M4" s="3">
        <v>45216</v>
      </c>
      <c r="N4" s="2">
        <v>0</v>
      </c>
    </row>
    <row r="5" spans="1:22" x14ac:dyDescent="0.2">
      <c r="A5" s="2">
        <v>4</v>
      </c>
      <c r="B5" s="2">
        <v>41</v>
      </c>
      <c r="C5" s="2" t="s">
        <v>14</v>
      </c>
      <c r="D5" s="2" t="s">
        <v>26</v>
      </c>
      <c r="E5" s="2" t="s">
        <v>16</v>
      </c>
      <c r="F5" s="2" t="s">
        <v>17</v>
      </c>
      <c r="G5" s="2">
        <v>2</v>
      </c>
      <c r="H5" s="2" t="s">
        <v>22</v>
      </c>
      <c r="I5" s="2" t="s">
        <v>27</v>
      </c>
      <c r="J5" s="2">
        <v>3164.76</v>
      </c>
      <c r="K5" s="2">
        <v>791.19</v>
      </c>
      <c r="L5" s="2">
        <v>4</v>
      </c>
      <c r="M5" s="3">
        <v>45513</v>
      </c>
      <c r="N5" s="2">
        <v>60.16</v>
      </c>
    </row>
    <row r="6" spans="1:22" x14ac:dyDescent="0.2">
      <c r="A6" s="2">
        <v>5</v>
      </c>
      <c r="B6" s="2">
        <v>75</v>
      </c>
      <c r="C6" s="2" t="s">
        <v>14</v>
      </c>
      <c r="D6" s="2" t="s">
        <v>26</v>
      </c>
      <c r="E6" s="2" t="s">
        <v>16</v>
      </c>
      <c r="F6" s="2" t="s">
        <v>28</v>
      </c>
      <c r="G6" s="2">
        <v>5</v>
      </c>
      <c r="H6" s="2" t="s">
        <v>22</v>
      </c>
      <c r="I6" s="2" t="s">
        <v>27</v>
      </c>
      <c r="J6" s="2">
        <v>41.5</v>
      </c>
      <c r="K6" s="2">
        <v>20.75</v>
      </c>
      <c r="L6" s="2">
        <v>2</v>
      </c>
      <c r="M6" s="3">
        <v>45433</v>
      </c>
      <c r="N6" s="2">
        <v>35.56</v>
      </c>
    </row>
    <row r="7" spans="1:22" x14ac:dyDescent="0.2">
      <c r="A7" s="2">
        <v>6</v>
      </c>
      <c r="B7" s="2">
        <v>41</v>
      </c>
      <c r="C7" s="2" t="s">
        <v>29</v>
      </c>
      <c r="D7" s="2" t="s">
        <v>15</v>
      </c>
      <c r="E7" s="2" t="s">
        <v>16</v>
      </c>
      <c r="F7" s="2" t="s">
        <v>28</v>
      </c>
      <c r="G7" s="2">
        <v>5</v>
      </c>
      <c r="H7" s="2" t="s">
        <v>22</v>
      </c>
      <c r="I7" s="2" t="s">
        <v>19</v>
      </c>
      <c r="J7" s="2">
        <v>83</v>
      </c>
      <c r="K7" s="2">
        <v>20.75</v>
      </c>
      <c r="L7" s="2">
        <v>4</v>
      </c>
      <c r="M7" s="3">
        <v>45438</v>
      </c>
      <c r="N7" s="2">
        <v>65.78</v>
      </c>
    </row>
    <row r="8" spans="1:22" x14ac:dyDescent="0.2">
      <c r="A8" s="2">
        <v>7</v>
      </c>
      <c r="B8" s="2">
        <v>25</v>
      </c>
      <c r="C8" s="2" t="s">
        <v>29</v>
      </c>
      <c r="D8" s="2" t="s">
        <v>15</v>
      </c>
      <c r="E8" s="2" t="s">
        <v>30</v>
      </c>
      <c r="F8" s="2" t="s">
        <v>31</v>
      </c>
      <c r="G8" s="2">
        <v>3</v>
      </c>
      <c r="H8" s="2" t="s">
        <v>22</v>
      </c>
      <c r="I8" s="2" t="s">
        <v>23</v>
      </c>
      <c r="J8" s="2">
        <v>7603.47</v>
      </c>
      <c r="K8" s="2">
        <v>844.83</v>
      </c>
      <c r="L8" s="2">
        <v>9</v>
      </c>
      <c r="M8" s="3">
        <v>45321</v>
      </c>
      <c r="N8" s="2">
        <v>0</v>
      </c>
      <c r="P8" s="55" t="s">
        <v>63</v>
      </c>
      <c r="Q8" s="55" t="s">
        <v>64</v>
      </c>
    </row>
    <row r="9" spans="1:22" x14ac:dyDescent="0.2">
      <c r="A9" s="2">
        <v>8</v>
      </c>
      <c r="B9" s="2">
        <v>25</v>
      </c>
      <c r="C9" s="2" t="s">
        <v>29</v>
      </c>
      <c r="D9" s="2" t="s">
        <v>15</v>
      </c>
      <c r="E9" s="2" t="s">
        <v>24</v>
      </c>
      <c r="F9" s="2" t="s">
        <v>25</v>
      </c>
      <c r="G9" s="2">
        <v>3</v>
      </c>
      <c r="H9" s="2" t="s">
        <v>22</v>
      </c>
      <c r="I9" s="2" t="s">
        <v>32</v>
      </c>
      <c r="J9" s="2">
        <v>4175.6400000000003</v>
      </c>
      <c r="K9" s="2">
        <v>463.96</v>
      </c>
      <c r="L9" s="2">
        <v>9</v>
      </c>
      <c r="M9" s="3">
        <v>45467</v>
      </c>
      <c r="N9" s="2">
        <v>75.33</v>
      </c>
      <c r="P9" s="55" t="s">
        <v>22</v>
      </c>
      <c r="Q9" s="55" t="str">
        <f>IF(P9="Completed","SUCCESSFUL","UNSUCCESSFUL")</f>
        <v>SUCCESSFUL</v>
      </c>
    </row>
    <row r="10" spans="1:22" x14ac:dyDescent="0.2">
      <c r="A10" s="2">
        <v>9</v>
      </c>
      <c r="B10" s="2">
        <v>24</v>
      </c>
      <c r="C10" s="2" t="s">
        <v>14</v>
      </c>
      <c r="D10" s="2" t="s">
        <v>15</v>
      </c>
      <c r="E10" s="2" t="s">
        <v>16</v>
      </c>
      <c r="F10" s="2" t="s">
        <v>17</v>
      </c>
      <c r="G10" s="2">
        <v>2</v>
      </c>
      <c r="H10" s="2" t="s">
        <v>18</v>
      </c>
      <c r="I10" s="2" t="s">
        <v>32</v>
      </c>
      <c r="J10" s="2">
        <v>5538.33</v>
      </c>
      <c r="K10" s="2">
        <v>791.19</v>
      </c>
      <c r="L10" s="2">
        <v>7</v>
      </c>
      <c r="M10" s="3">
        <v>45202</v>
      </c>
      <c r="N10" s="2">
        <v>43.05</v>
      </c>
    </row>
    <row r="11" spans="1:22" x14ac:dyDescent="0.2">
      <c r="A11" s="2">
        <v>10</v>
      </c>
      <c r="B11" s="2">
        <v>24</v>
      </c>
      <c r="C11" s="2" t="s">
        <v>14</v>
      </c>
      <c r="D11" s="2" t="s">
        <v>26</v>
      </c>
      <c r="E11" s="2" t="s">
        <v>24</v>
      </c>
      <c r="F11" s="2" t="s">
        <v>25</v>
      </c>
      <c r="G11" s="2">
        <v>3</v>
      </c>
      <c r="H11" s="2" t="s">
        <v>22</v>
      </c>
      <c r="I11" s="2" t="s">
        <v>27</v>
      </c>
      <c r="J11" s="2">
        <v>4175.6400000000003</v>
      </c>
      <c r="K11" s="2">
        <v>463.96</v>
      </c>
      <c r="L11" s="2">
        <v>9</v>
      </c>
      <c r="M11" s="3">
        <v>45292</v>
      </c>
      <c r="N11" s="2">
        <v>0</v>
      </c>
    </row>
    <row r="12" spans="1:22" x14ac:dyDescent="0.2">
      <c r="A12" s="2">
        <v>11</v>
      </c>
      <c r="B12" s="2">
        <v>24</v>
      </c>
      <c r="C12" s="2" t="s">
        <v>14</v>
      </c>
      <c r="D12" s="2" t="s">
        <v>26</v>
      </c>
      <c r="E12" s="2" t="s">
        <v>20</v>
      </c>
      <c r="F12" s="2" t="s">
        <v>21</v>
      </c>
      <c r="G12" s="2">
        <v>3</v>
      </c>
      <c r="H12" s="2" t="s">
        <v>22</v>
      </c>
      <c r="I12" s="2" t="s">
        <v>23</v>
      </c>
      <c r="J12" s="2">
        <v>2470.3000000000002</v>
      </c>
      <c r="K12" s="2">
        <v>247.03</v>
      </c>
      <c r="L12" s="2">
        <v>10</v>
      </c>
      <c r="M12" s="3">
        <v>45468</v>
      </c>
      <c r="N12" s="2">
        <v>90.38</v>
      </c>
    </row>
    <row r="13" spans="1:22" x14ac:dyDescent="0.2">
      <c r="A13" s="2">
        <v>12</v>
      </c>
      <c r="B13" s="2">
        <v>35</v>
      </c>
      <c r="C13" s="2" t="s">
        <v>14</v>
      </c>
      <c r="D13" s="2" t="s">
        <v>15</v>
      </c>
      <c r="E13" s="2" t="s">
        <v>16</v>
      </c>
      <c r="F13" s="2" t="s">
        <v>17</v>
      </c>
      <c r="G13" s="2">
        <v>2</v>
      </c>
      <c r="H13" s="2" t="s">
        <v>18</v>
      </c>
      <c r="I13" s="2" t="s">
        <v>19</v>
      </c>
      <c r="J13" s="2">
        <v>7120.71</v>
      </c>
      <c r="K13" s="2">
        <v>791.19</v>
      </c>
      <c r="L13" s="2">
        <v>9</v>
      </c>
      <c r="M13" s="3">
        <v>45237</v>
      </c>
      <c r="N13" s="2">
        <v>55.48</v>
      </c>
    </row>
    <row r="14" spans="1:22" x14ac:dyDescent="0.2">
      <c r="A14" s="2">
        <v>13</v>
      </c>
      <c r="B14" s="2">
        <v>66</v>
      </c>
      <c r="C14" s="2" t="s">
        <v>29</v>
      </c>
      <c r="D14" s="2" t="s">
        <v>15</v>
      </c>
      <c r="E14" s="2" t="s">
        <v>30</v>
      </c>
      <c r="F14" s="2" t="s">
        <v>31</v>
      </c>
      <c r="G14" s="2">
        <v>3</v>
      </c>
      <c r="H14" s="2" t="s">
        <v>22</v>
      </c>
      <c r="I14" s="2" t="s">
        <v>27</v>
      </c>
      <c r="J14" s="2">
        <v>3379.32</v>
      </c>
      <c r="K14" s="2">
        <v>844.83</v>
      </c>
      <c r="L14" s="2">
        <v>4</v>
      </c>
      <c r="M14" s="3">
        <v>45194</v>
      </c>
      <c r="N14" s="2">
        <v>65.849999999999994</v>
      </c>
    </row>
    <row r="15" spans="1:22" x14ac:dyDescent="0.2">
      <c r="A15" s="2">
        <v>14</v>
      </c>
      <c r="B15" s="2">
        <v>72</v>
      </c>
      <c r="C15" s="2" t="s">
        <v>14</v>
      </c>
      <c r="D15" s="2" t="s">
        <v>15</v>
      </c>
      <c r="E15" s="2" t="s">
        <v>16</v>
      </c>
      <c r="F15" s="2" t="s">
        <v>17</v>
      </c>
      <c r="G15" s="2">
        <v>2</v>
      </c>
      <c r="H15" s="2" t="s">
        <v>22</v>
      </c>
      <c r="I15" s="2" t="s">
        <v>19</v>
      </c>
      <c r="J15" s="2">
        <v>7911.9</v>
      </c>
      <c r="K15" s="2">
        <v>791.19</v>
      </c>
      <c r="L15" s="2">
        <v>10</v>
      </c>
      <c r="M15" s="3">
        <v>45480</v>
      </c>
      <c r="N15" s="2">
        <v>70.17</v>
      </c>
    </row>
    <row r="16" spans="1:22" x14ac:dyDescent="0.2">
      <c r="A16" s="2">
        <v>15</v>
      </c>
      <c r="B16" s="2">
        <v>42</v>
      </c>
      <c r="C16" s="2" t="s">
        <v>29</v>
      </c>
      <c r="D16" s="2" t="s">
        <v>15</v>
      </c>
      <c r="E16" s="2" t="s">
        <v>16</v>
      </c>
      <c r="F16" s="2" t="s">
        <v>17</v>
      </c>
      <c r="G16" s="2">
        <v>2</v>
      </c>
      <c r="H16" s="2" t="s">
        <v>18</v>
      </c>
      <c r="I16" s="2" t="s">
        <v>23</v>
      </c>
      <c r="J16" s="2">
        <v>5538.33</v>
      </c>
      <c r="K16" s="2">
        <v>791.19</v>
      </c>
      <c r="L16" s="2">
        <v>7</v>
      </c>
      <c r="M16" s="3">
        <v>45369</v>
      </c>
      <c r="N16" s="2">
        <v>57.81</v>
      </c>
    </row>
    <row r="17" spans="1:14" x14ac:dyDescent="0.2">
      <c r="A17" s="2">
        <v>16</v>
      </c>
      <c r="B17" s="2">
        <v>73</v>
      </c>
      <c r="C17" s="2" t="s">
        <v>29</v>
      </c>
      <c r="D17" s="2" t="s">
        <v>15</v>
      </c>
      <c r="E17" s="2" t="s">
        <v>30</v>
      </c>
      <c r="F17" s="2" t="s">
        <v>31</v>
      </c>
      <c r="G17" s="2">
        <v>3</v>
      </c>
      <c r="H17" s="2" t="s">
        <v>18</v>
      </c>
      <c r="I17" s="2" t="s">
        <v>19</v>
      </c>
      <c r="J17" s="2">
        <v>5068.9799999999996</v>
      </c>
      <c r="K17" s="2">
        <v>844.83</v>
      </c>
      <c r="L17" s="2">
        <v>6</v>
      </c>
      <c r="M17" s="3">
        <v>45293</v>
      </c>
      <c r="N17" s="2">
        <v>69.31</v>
      </c>
    </row>
    <row r="18" spans="1:14" x14ac:dyDescent="0.2">
      <c r="A18" s="2">
        <v>17</v>
      </c>
      <c r="B18" s="2">
        <v>73</v>
      </c>
      <c r="C18" s="2" t="s">
        <v>29</v>
      </c>
      <c r="D18" s="2" t="s">
        <v>26</v>
      </c>
      <c r="E18" s="2" t="s">
        <v>16</v>
      </c>
      <c r="F18" s="2" t="s">
        <v>17</v>
      </c>
      <c r="G18" s="2">
        <v>2</v>
      </c>
      <c r="H18" s="2" t="s">
        <v>22</v>
      </c>
      <c r="I18" s="2" t="s">
        <v>27</v>
      </c>
      <c r="J18" s="2">
        <v>4747.1400000000003</v>
      </c>
      <c r="K18" s="2">
        <v>791.19</v>
      </c>
      <c r="L18" s="2">
        <v>6</v>
      </c>
      <c r="M18" s="3">
        <v>45430</v>
      </c>
      <c r="N18" s="2">
        <v>8.3000000000000007</v>
      </c>
    </row>
    <row r="19" spans="1:14" x14ac:dyDescent="0.2">
      <c r="A19" s="2">
        <v>18</v>
      </c>
      <c r="B19" s="2">
        <v>22</v>
      </c>
      <c r="C19" s="2" t="s">
        <v>14</v>
      </c>
      <c r="D19" s="2" t="s">
        <v>15</v>
      </c>
      <c r="E19" s="2" t="s">
        <v>16</v>
      </c>
      <c r="F19" s="2" t="s">
        <v>28</v>
      </c>
      <c r="G19" s="2">
        <v>5</v>
      </c>
      <c r="H19" s="2" t="s">
        <v>22</v>
      </c>
      <c r="I19" s="2" t="s">
        <v>23</v>
      </c>
      <c r="J19" s="2">
        <v>83</v>
      </c>
      <c r="K19" s="2">
        <v>20.75</v>
      </c>
      <c r="L19" s="2">
        <v>4</v>
      </c>
      <c r="M19" s="3">
        <v>45537</v>
      </c>
      <c r="N19" s="2">
        <v>80</v>
      </c>
    </row>
    <row r="20" spans="1:14" x14ac:dyDescent="0.2">
      <c r="A20" s="2">
        <v>19</v>
      </c>
      <c r="B20" s="2">
        <v>61</v>
      </c>
      <c r="C20" s="2" t="s">
        <v>14</v>
      </c>
      <c r="D20" s="2" t="s">
        <v>26</v>
      </c>
      <c r="E20" s="2" t="s">
        <v>16</v>
      </c>
      <c r="F20" s="2" t="s">
        <v>28</v>
      </c>
      <c r="G20" s="2">
        <v>5</v>
      </c>
      <c r="H20" s="2" t="s">
        <v>22</v>
      </c>
      <c r="I20" s="2" t="s">
        <v>23</v>
      </c>
      <c r="J20" s="2">
        <v>103.75</v>
      </c>
      <c r="K20" s="2">
        <v>20.75</v>
      </c>
      <c r="L20" s="2">
        <v>5</v>
      </c>
      <c r="M20" s="3">
        <v>45480</v>
      </c>
      <c r="N20" s="2">
        <v>0</v>
      </c>
    </row>
    <row r="21" spans="1:14" x14ac:dyDescent="0.2">
      <c r="A21" s="2">
        <v>20</v>
      </c>
      <c r="B21" s="2">
        <v>34</v>
      </c>
      <c r="C21" s="2" t="s">
        <v>14</v>
      </c>
      <c r="D21" s="2" t="s">
        <v>15</v>
      </c>
      <c r="E21" s="2" t="s">
        <v>16</v>
      </c>
      <c r="F21" s="2" t="s">
        <v>28</v>
      </c>
      <c r="G21" s="2">
        <v>5</v>
      </c>
      <c r="H21" s="2" t="s">
        <v>22</v>
      </c>
      <c r="I21" s="2" t="s">
        <v>23</v>
      </c>
      <c r="J21" s="2">
        <v>124.5</v>
      </c>
      <c r="K21" s="2">
        <v>20.75</v>
      </c>
      <c r="L21" s="2">
        <v>6</v>
      </c>
      <c r="M21" s="3">
        <v>45496</v>
      </c>
      <c r="N21" s="2">
        <v>70.39</v>
      </c>
    </row>
    <row r="22" spans="1:14" x14ac:dyDescent="0.2">
      <c r="A22" s="2">
        <v>21</v>
      </c>
      <c r="B22" s="2">
        <v>45</v>
      </c>
      <c r="C22" s="2" t="s">
        <v>14</v>
      </c>
      <c r="D22" s="2" t="s">
        <v>15</v>
      </c>
      <c r="E22" s="2" t="s">
        <v>16</v>
      </c>
      <c r="F22" s="2" t="s">
        <v>28</v>
      </c>
      <c r="G22" s="2">
        <v>5</v>
      </c>
      <c r="H22" s="2" t="s">
        <v>18</v>
      </c>
      <c r="I22" s="2" t="s">
        <v>27</v>
      </c>
      <c r="J22" s="2">
        <v>83</v>
      </c>
      <c r="K22" s="2">
        <v>20.75</v>
      </c>
      <c r="L22" s="2">
        <v>4</v>
      </c>
      <c r="M22" s="3">
        <v>45365</v>
      </c>
      <c r="N22" s="2">
        <v>0</v>
      </c>
    </row>
    <row r="23" spans="1:14" x14ac:dyDescent="0.2">
      <c r="A23" s="2">
        <v>22</v>
      </c>
      <c r="B23" s="2">
        <v>45</v>
      </c>
      <c r="C23" s="2" t="s">
        <v>14</v>
      </c>
      <c r="D23" s="2" t="s">
        <v>15</v>
      </c>
      <c r="E23" s="2" t="s">
        <v>20</v>
      </c>
      <c r="F23" s="2" t="s">
        <v>21</v>
      </c>
      <c r="G23" s="2">
        <v>3</v>
      </c>
      <c r="H23" s="2" t="s">
        <v>22</v>
      </c>
      <c r="I23" s="2" t="s">
        <v>27</v>
      </c>
      <c r="J23" s="2">
        <v>988.12</v>
      </c>
      <c r="K23" s="2">
        <v>247.03</v>
      </c>
      <c r="L23" s="2">
        <v>4</v>
      </c>
      <c r="M23" s="3">
        <v>45402</v>
      </c>
      <c r="N23" s="2">
        <v>37.869999999999997</v>
      </c>
    </row>
    <row r="24" spans="1:14" x14ac:dyDescent="0.2">
      <c r="A24" s="2">
        <v>23</v>
      </c>
      <c r="B24" s="2">
        <v>45</v>
      </c>
      <c r="C24" s="2" t="s">
        <v>14</v>
      </c>
      <c r="D24" s="2" t="s">
        <v>26</v>
      </c>
      <c r="E24" s="2" t="s">
        <v>30</v>
      </c>
      <c r="F24" s="2" t="s">
        <v>31</v>
      </c>
      <c r="G24" s="2">
        <v>3</v>
      </c>
      <c r="H24" s="2" t="s">
        <v>18</v>
      </c>
      <c r="I24" s="2" t="s">
        <v>23</v>
      </c>
      <c r="J24" s="2">
        <v>844.83</v>
      </c>
      <c r="K24" s="2">
        <v>844.83</v>
      </c>
      <c r="L24" s="2">
        <v>1</v>
      </c>
      <c r="M24" s="3">
        <v>45494</v>
      </c>
      <c r="N24" s="2">
        <v>49.17</v>
      </c>
    </row>
    <row r="25" spans="1:14" x14ac:dyDescent="0.2">
      <c r="A25" s="2">
        <v>24</v>
      </c>
      <c r="B25" s="2">
        <v>57</v>
      </c>
      <c r="C25" s="2" t="s">
        <v>29</v>
      </c>
      <c r="D25" s="2" t="s">
        <v>15</v>
      </c>
      <c r="E25" s="2" t="s">
        <v>30</v>
      </c>
      <c r="F25" s="2" t="s">
        <v>31</v>
      </c>
      <c r="G25" s="2">
        <v>3</v>
      </c>
      <c r="H25" s="2" t="s">
        <v>18</v>
      </c>
      <c r="I25" s="2" t="s">
        <v>32</v>
      </c>
      <c r="J25" s="2">
        <v>3379.32</v>
      </c>
      <c r="K25" s="2">
        <v>844.83</v>
      </c>
      <c r="L25" s="2">
        <v>4</v>
      </c>
      <c r="M25" s="3">
        <v>45262</v>
      </c>
      <c r="N25" s="2">
        <v>37.130000000000003</v>
      </c>
    </row>
    <row r="26" spans="1:14" x14ac:dyDescent="0.2">
      <c r="A26" s="2">
        <v>25</v>
      </c>
      <c r="B26" s="2">
        <v>71</v>
      </c>
      <c r="C26" s="2" t="s">
        <v>29</v>
      </c>
      <c r="D26" s="2" t="s">
        <v>26</v>
      </c>
      <c r="E26" s="2" t="s">
        <v>30</v>
      </c>
      <c r="F26" s="2" t="s">
        <v>31</v>
      </c>
      <c r="G26" s="2">
        <v>3</v>
      </c>
      <c r="H26" s="2" t="s">
        <v>22</v>
      </c>
      <c r="I26" s="2" t="s">
        <v>27</v>
      </c>
      <c r="J26" s="2">
        <v>844.83</v>
      </c>
      <c r="K26" s="2">
        <v>844.83</v>
      </c>
      <c r="L26" s="2">
        <v>1</v>
      </c>
      <c r="M26" s="3">
        <v>45371</v>
      </c>
      <c r="N26" s="2">
        <v>49.54</v>
      </c>
    </row>
    <row r="27" spans="1:14" x14ac:dyDescent="0.2">
      <c r="A27" s="2">
        <v>26</v>
      </c>
      <c r="B27" s="2">
        <v>76</v>
      </c>
      <c r="C27" s="2" t="s">
        <v>29</v>
      </c>
      <c r="D27" s="2" t="s">
        <v>15</v>
      </c>
      <c r="E27" s="2" t="s">
        <v>30</v>
      </c>
      <c r="F27" s="2" t="s">
        <v>31</v>
      </c>
      <c r="G27" s="2">
        <v>3</v>
      </c>
      <c r="H27" s="2" t="s">
        <v>18</v>
      </c>
      <c r="I27" s="2" t="s">
        <v>23</v>
      </c>
      <c r="J27" s="2">
        <v>6758.64</v>
      </c>
      <c r="K27" s="2">
        <v>844.83</v>
      </c>
      <c r="L27" s="2">
        <v>8</v>
      </c>
      <c r="M27" s="3">
        <v>45409</v>
      </c>
      <c r="N27" s="2">
        <v>73.489999999999995</v>
      </c>
    </row>
    <row r="28" spans="1:14" x14ac:dyDescent="0.2">
      <c r="A28" s="2">
        <v>27</v>
      </c>
      <c r="B28" s="2">
        <v>49</v>
      </c>
      <c r="C28" s="2" t="s">
        <v>29</v>
      </c>
      <c r="D28" s="2" t="s">
        <v>15</v>
      </c>
      <c r="E28" s="2" t="s">
        <v>16</v>
      </c>
      <c r="F28" s="2" t="s">
        <v>17</v>
      </c>
      <c r="G28" s="2">
        <v>2</v>
      </c>
      <c r="H28" s="2" t="s">
        <v>22</v>
      </c>
      <c r="I28" s="2" t="s">
        <v>27</v>
      </c>
      <c r="J28" s="2">
        <v>1582.38</v>
      </c>
      <c r="K28" s="2">
        <v>791.19</v>
      </c>
      <c r="L28" s="2">
        <v>2</v>
      </c>
      <c r="M28" s="3">
        <v>45483</v>
      </c>
      <c r="N28" s="2">
        <v>51.93</v>
      </c>
    </row>
    <row r="29" spans="1:14" x14ac:dyDescent="0.2">
      <c r="A29" s="2">
        <v>28</v>
      </c>
      <c r="B29" s="2">
        <v>77</v>
      </c>
      <c r="C29" s="2" t="s">
        <v>14</v>
      </c>
      <c r="D29" s="2" t="s">
        <v>15</v>
      </c>
      <c r="E29" s="2" t="s">
        <v>24</v>
      </c>
      <c r="F29" s="2" t="s">
        <v>25</v>
      </c>
      <c r="G29" s="2">
        <v>3</v>
      </c>
      <c r="H29" s="2" t="s">
        <v>22</v>
      </c>
      <c r="I29" s="2" t="s">
        <v>32</v>
      </c>
      <c r="J29" s="2">
        <v>2783.76</v>
      </c>
      <c r="K29" s="2">
        <v>463.96</v>
      </c>
      <c r="L29" s="2">
        <v>6</v>
      </c>
      <c r="M29" s="3">
        <v>45320</v>
      </c>
      <c r="N29" s="2">
        <v>0</v>
      </c>
    </row>
    <row r="30" spans="1:14" x14ac:dyDescent="0.2">
      <c r="A30" s="2">
        <v>29</v>
      </c>
      <c r="B30" s="2">
        <v>77</v>
      </c>
      <c r="C30" s="2" t="s">
        <v>14</v>
      </c>
      <c r="D30" s="2" t="s">
        <v>15</v>
      </c>
      <c r="E30" s="2" t="s">
        <v>16</v>
      </c>
      <c r="F30" s="2" t="s">
        <v>28</v>
      </c>
      <c r="G30" s="2">
        <v>5</v>
      </c>
      <c r="H30" s="2" t="s">
        <v>22</v>
      </c>
      <c r="I30" s="2" t="s">
        <v>27</v>
      </c>
      <c r="J30" s="2">
        <v>83</v>
      </c>
      <c r="K30" s="2">
        <v>20.75</v>
      </c>
      <c r="L30" s="2">
        <v>4</v>
      </c>
      <c r="M30" s="3">
        <v>45532</v>
      </c>
      <c r="N30" s="2">
        <v>77.78</v>
      </c>
    </row>
    <row r="31" spans="1:14" x14ac:dyDescent="0.2">
      <c r="A31" s="2">
        <v>30</v>
      </c>
      <c r="B31" s="2">
        <v>22</v>
      </c>
      <c r="C31" s="2" t="s">
        <v>14</v>
      </c>
      <c r="D31" s="2" t="s">
        <v>15</v>
      </c>
      <c r="E31" s="2" t="s">
        <v>16</v>
      </c>
      <c r="F31" s="2" t="s">
        <v>17</v>
      </c>
      <c r="G31" s="2">
        <v>2</v>
      </c>
      <c r="H31" s="2" t="s">
        <v>22</v>
      </c>
      <c r="I31" s="2" t="s">
        <v>23</v>
      </c>
      <c r="J31" s="2">
        <v>4747.1400000000003</v>
      </c>
      <c r="K31" s="2">
        <v>791.19</v>
      </c>
      <c r="L31" s="2">
        <v>6</v>
      </c>
      <c r="M31" s="3">
        <v>45258</v>
      </c>
      <c r="N31" s="2">
        <v>0</v>
      </c>
    </row>
    <row r="32" spans="1:14" x14ac:dyDescent="0.2">
      <c r="A32" s="2">
        <v>31</v>
      </c>
      <c r="B32" s="2">
        <v>79</v>
      </c>
      <c r="C32" s="2" t="s">
        <v>29</v>
      </c>
      <c r="D32" s="2" t="s">
        <v>15</v>
      </c>
      <c r="E32" s="2" t="s">
        <v>30</v>
      </c>
      <c r="F32" s="2" t="s">
        <v>31</v>
      </c>
      <c r="G32" s="2">
        <v>3</v>
      </c>
      <c r="H32" s="2" t="s">
        <v>22</v>
      </c>
      <c r="I32" s="2" t="s">
        <v>32</v>
      </c>
      <c r="J32" s="2">
        <v>6758.64</v>
      </c>
      <c r="K32" s="2">
        <v>844.83</v>
      </c>
      <c r="L32" s="2">
        <v>8</v>
      </c>
      <c r="M32" s="3">
        <v>45260</v>
      </c>
      <c r="N32" s="2">
        <v>0</v>
      </c>
    </row>
    <row r="33" spans="1:14" x14ac:dyDescent="0.2">
      <c r="A33" s="2">
        <v>32</v>
      </c>
      <c r="B33" s="2">
        <v>69</v>
      </c>
      <c r="C33" s="2" t="s">
        <v>14</v>
      </c>
      <c r="D33" s="2" t="s">
        <v>15</v>
      </c>
      <c r="E33" s="2" t="s">
        <v>30</v>
      </c>
      <c r="F33" s="2" t="s">
        <v>31</v>
      </c>
      <c r="G33" s="2">
        <v>3</v>
      </c>
      <c r="H33" s="2" t="s">
        <v>22</v>
      </c>
      <c r="I33" s="2" t="s">
        <v>32</v>
      </c>
      <c r="J33" s="2">
        <v>4224.1499999999996</v>
      </c>
      <c r="K33" s="2">
        <v>844.83</v>
      </c>
      <c r="L33" s="2">
        <v>5</v>
      </c>
      <c r="M33" s="3">
        <v>45349</v>
      </c>
      <c r="N33" s="2">
        <v>46.03</v>
      </c>
    </row>
    <row r="34" spans="1:14" x14ac:dyDescent="0.2">
      <c r="A34" s="2">
        <v>33</v>
      </c>
      <c r="B34" s="2">
        <v>20</v>
      </c>
      <c r="C34" s="2" t="s">
        <v>29</v>
      </c>
      <c r="D34" s="2" t="s">
        <v>15</v>
      </c>
      <c r="E34" s="2" t="s">
        <v>30</v>
      </c>
      <c r="F34" s="2" t="s">
        <v>31</v>
      </c>
      <c r="G34" s="2">
        <v>3</v>
      </c>
      <c r="H34" s="2" t="s">
        <v>22</v>
      </c>
      <c r="I34" s="2" t="s">
        <v>32</v>
      </c>
      <c r="J34" s="2">
        <v>5913.81</v>
      </c>
      <c r="K34" s="2">
        <v>844.83</v>
      </c>
      <c r="L34" s="2">
        <v>7</v>
      </c>
      <c r="M34" s="3">
        <v>45312</v>
      </c>
      <c r="N34" s="2">
        <v>0</v>
      </c>
    </row>
    <row r="35" spans="1:14" x14ac:dyDescent="0.2">
      <c r="A35" s="2">
        <v>34</v>
      </c>
      <c r="B35" s="2">
        <v>20</v>
      </c>
      <c r="C35" s="2" t="s">
        <v>29</v>
      </c>
      <c r="D35" s="2" t="s">
        <v>15</v>
      </c>
      <c r="E35" s="2" t="s">
        <v>16</v>
      </c>
      <c r="F35" s="2" t="s">
        <v>28</v>
      </c>
      <c r="G35" s="2">
        <v>5</v>
      </c>
      <c r="H35" s="2" t="s">
        <v>22</v>
      </c>
      <c r="I35" s="2" t="s">
        <v>32</v>
      </c>
      <c r="J35" s="2">
        <v>103.75</v>
      </c>
      <c r="K35" s="2">
        <v>20.75</v>
      </c>
      <c r="L35" s="2">
        <v>5</v>
      </c>
      <c r="M35" s="3">
        <v>45538</v>
      </c>
      <c r="N35" s="2">
        <v>17.79</v>
      </c>
    </row>
    <row r="36" spans="1:14" x14ac:dyDescent="0.2">
      <c r="A36" s="2">
        <v>35</v>
      </c>
      <c r="B36" s="2">
        <v>54</v>
      </c>
      <c r="C36" s="2" t="s">
        <v>29</v>
      </c>
      <c r="D36" s="2" t="s">
        <v>15</v>
      </c>
      <c r="E36" s="2" t="s">
        <v>20</v>
      </c>
      <c r="F36" s="2" t="s">
        <v>21</v>
      </c>
      <c r="G36" s="2">
        <v>3</v>
      </c>
      <c r="H36" s="2" t="s">
        <v>22</v>
      </c>
      <c r="I36" s="2" t="s">
        <v>32</v>
      </c>
      <c r="J36" s="2">
        <v>988.12</v>
      </c>
      <c r="K36" s="2">
        <v>247.03</v>
      </c>
      <c r="L36" s="2">
        <v>4</v>
      </c>
      <c r="M36" s="3">
        <v>45260</v>
      </c>
      <c r="N36" s="2">
        <v>0</v>
      </c>
    </row>
    <row r="37" spans="1:14" x14ac:dyDescent="0.2">
      <c r="A37" s="2">
        <v>36</v>
      </c>
      <c r="B37" s="2">
        <v>54</v>
      </c>
      <c r="C37" s="2" t="s">
        <v>29</v>
      </c>
      <c r="D37" s="2" t="s">
        <v>15</v>
      </c>
      <c r="E37" s="2" t="s">
        <v>16</v>
      </c>
      <c r="F37" s="2" t="s">
        <v>17</v>
      </c>
      <c r="G37" s="2">
        <v>2</v>
      </c>
      <c r="H37" s="2" t="s">
        <v>22</v>
      </c>
      <c r="I37" s="2" t="s">
        <v>32</v>
      </c>
      <c r="J37" s="2">
        <v>3164.76</v>
      </c>
      <c r="K37" s="2">
        <v>791.19</v>
      </c>
      <c r="L37" s="2">
        <v>4</v>
      </c>
      <c r="M37" s="3">
        <v>45303</v>
      </c>
      <c r="N37" s="2">
        <v>49.24</v>
      </c>
    </row>
    <row r="38" spans="1:14" x14ac:dyDescent="0.2">
      <c r="A38" s="2">
        <v>37</v>
      </c>
      <c r="B38" s="2">
        <v>32</v>
      </c>
      <c r="C38" s="2" t="s">
        <v>29</v>
      </c>
      <c r="D38" s="2" t="s">
        <v>15</v>
      </c>
      <c r="E38" s="2" t="s">
        <v>16</v>
      </c>
      <c r="F38" s="2" t="s">
        <v>28</v>
      </c>
      <c r="G38" s="2">
        <v>5</v>
      </c>
      <c r="H38" s="2" t="s">
        <v>22</v>
      </c>
      <c r="I38" s="2" t="s">
        <v>27</v>
      </c>
      <c r="J38" s="2">
        <v>186.75</v>
      </c>
      <c r="K38" s="2">
        <v>20.75</v>
      </c>
      <c r="L38" s="2">
        <v>9</v>
      </c>
      <c r="M38" s="3">
        <v>45193</v>
      </c>
      <c r="N38" s="2">
        <v>0</v>
      </c>
    </row>
    <row r="39" spans="1:14" x14ac:dyDescent="0.2">
      <c r="A39" s="2">
        <v>38</v>
      </c>
      <c r="B39" s="2">
        <v>32</v>
      </c>
      <c r="C39" s="2" t="s">
        <v>29</v>
      </c>
      <c r="D39" s="2" t="s">
        <v>26</v>
      </c>
      <c r="E39" s="2" t="s">
        <v>16</v>
      </c>
      <c r="F39" s="2" t="s">
        <v>28</v>
      </c>
      <c r="G39" s="2">
        <v>5</v>
      </c>
      <c r="H39" s="2" t="s">
        <v>22</v>
      </c>
      <c r="I39" s="2" t="s">
        <v>27</v>
      </c>
      <c r="J39" s="2">
        <v>62.25</v>
      </c>
      <c r="K39" s="2">
        <v>20.75</v>
      </c>
      <c r="L39" s="2">
        <v>3</v>
      </c>
      <c r="M39" s="3">
        <v>45376</v>
      </c>
      <c r="N39" s="2">
        <v>33.56</v>
      </c>
    </row>
    <row r="40" spans="1:14" x14ac:dyDescent="0.2">
      <c r="A40" s="2">
        <v>39</v>
      </c>
      <c r="B40" s="2">
        <v>60</v>
      </c>
      <c r="C40" s="2" t="s">
        <v>14</v>
      </c>
      <c r="D40" s="2" t="s">
        <v>26</v>
      </c>
      <c r="E40" s="2" t="s">
        <v>16</v>
      </c>
      <c r="F40" s="2" t="s">
        <v>17</v>
      </c>
      <c r="G40" s="2">
        <v>2</v>
      </c>
      <c r="H40" s="2" t="s">
        <v>18</v>
      </c>
      <c r="I40" s="2" t="s">
        <v>32</v>
      </c>
      <c r="J40" s="2">
        <v>3955.95</v>
      </c>
      <c r="K40" s="2">
        <v>791.19</v>
      </c>
      <c r="L40" s="2">
        <v>5</v>
      </c>
      <c r="M40" s="3">
        <v>45211</v>
      </c>
      <c r="N40" s="2">
        <v>56.62</v>
      </c>
    </row>
    <row r="41" spans="1:14" x14ac:dyDescent="0.2">
      <c r="A41" s="2">
        <v>40</v>
      </c>
      <c r="B41" s="2">
        <v>60</v>
      </c>
      <c r="C41" s="2" t="s">
        <v>14</v>
      </c>
      <c r="D41" s="2" t="s">
        <v>26</v>
      </c>
      <c r="E41" s="2" t="s">
        <v>16</v>
      </c>
      <c r="F41" s="2" t="s">
        <v>17</v>
      </c>
      <c r="G41" s="2">
        <v>2</v>
      </c>
      <c r="H41" s="2" t="s">
        <v>18</v>
      </c>
      <c r="I41" s="2" t="s">
        <v>23</v>
      </c>
      <c r="J41" s="2">
        <v>791.19</v>
      </c>
      <c r="K41" s="2">
        <v>791.19</v>
      </c>
      <c r="L41" s="2">
        <v>1</v>
      </c>
      <c r="M41" s="3">
        <v>45319</v>
      </c>
      <c r="N41" s="2">
        <v>0</v>
      </c>
    </row>
    <row r="42" spans="1:14" x14ac:dyDescent="0.2">
      <c r="A42" s="2">
        <v>41</v>
      </c>
      <c r="B42" s="2">
        <v>56</v>
      </c>
      <c r="C42" s="2" t="s">
        <v>29</v>
      </c>
      <c r="D42" s="2" t="s">
        <v>15</v>
      </c>
      <c r="E42" s="2" t="s">
        <v>30</v>
      </c>
      <c r="F42" s="2" t="s">
        <v>31</v>
      </c>
      <c r="G42" s="2">
        <v>3</v>
      </c>
      <c r="H42" s="2" t="s">
        <v>22</v>
      </c>
      <c r="I42" s="2" t="s">
        <v>23</v>
      </c>
      <c r="J42" s="2">
        <v>4224.1499999999996</v>
      </c>
      <c r="K42" s="2">
        <v>844.83</v>
      </c>
      <c r="L42" s="2">
        <v>5</v>
      </c>
      <c r="M42" s="3">
        <v>45481</v>
      </c>
      <c r="N42" s="2">
        <v>10</v>
      </c>
    </row>
    <row r="43" spans="1:14" x14ac:dyDescent="0.2">
      <c r="A43" s="2">
        <v>42</v>
      </c>
      <c r="B43" s="2">
        <v>56</v>
      </c>
      <c r="C43" s="2" t="s">
        <v>29</v>
      </c>
      <c r="D43" s="2" t="s">
        <v>26</v>
      </c>
      <c r="E43" s="2" t="s">
        <v>30</v>
      </c>
      <c r="F43" s="2" t="s">
        <v>31</v>
      </c>
      <c r="G43" s="2">
        <v>3</v>
      </c>
      <c r="H43" s="2" t="s">
        <v>22</v>
      </c>
      <c r="I43" s="2" t="s">
        <v>27</v>
      </c>
      <c r="J43" s="2">
        <v>5068.9799999999996</v>
      </c>
      <c r="K43" s="2">
        <v>844.83</v>
      </c>
      <c r="L43" s="2">
        <v>6</v>
      </c>
      <c r="M43" s="3">
        <v>45502</v>
      </c>
      <c r="N43" s="2">
        <v>0</v>
      </c>
    </row>
    <row r="44" spans="1:14" x14ac:dyDescent="0.2">
      <c r="A44" s="2">
        <v>43</v>
      </c>
      <c r="B44" s="2">
        <v>56</v>
      </c>
      <c r="C44" s="2" t="s">
        <v>29</v>
      </c>
      <c r="D44" s="2" t="s">
        <v>15</v>
      </c>
      <c r="E44" s="2" t="s">
        <v>16</v>
      </c>
      <c r="F44" s="2" t="s">
        <v>28</v>
      </c>
      <c r="G44" s="2">
        <v>5</v>
      </c>
      <c r="H44" s="2" t="s">
        <v>22</v>
      </c>
      <c r="I44" s="2" t="s">
        <v>32</v>
      </c>
      <c r="J44" s="2">
        <v>145.25</v>
      </c>
      <c r="K44" s="2">
        <v>20.75</v>
      </c>
      <c r="L44" s="2">
        <v>7</v>
      </c>
      <c r="M44" s="3">
        <v>45521</v>
      </c>
      <c r="N44" s="2">
        <v>47.94</v>
      </c>
    </row>
    <row r="45" spans="1:14" x14ac:dyDescent="0.2">
      <c r="A45" s="2">
        <v>44</v>
      </c>
      <c r="B45" s="2">
        <v>56</v>
      </c>
      <c r="C45" s="2" t="s">
        <v>29</v>
      </c>
      <c r="D45" s="2" t="s">
        <v>15</v>
      </c>
      <c r="E45" s="2" t="s">
        <v>16</v>
      </c>
      <c r="F45" s="2" t="s">
        <v>17</v>
      </c>
      <c r="G45" s="2">
        <v>2</v>
      </c>
      <c r="H45" s="2" t="s">
        <v>22</v>
      </c>
      <c r="I45" s="2" t="s">
        <v>32</v>
      </c>
      <c r="J45" s="2">
        <v>5538.33</v>
      </c>
      <c r="K45" s="2">
        <v>791.19</v>
      </c>
      <c r="L45" s="2">
        <v>7</v>
      </c>
      <c r="M45" s="3">
        <v>45558</v>
      </c>
      <c r="N45" s="2">
        <v>26.01</v>
      </c>
    </row>
    <row r="46" spans="1:14" x14ac:dyDescent="0.2">
      <c r="A46" s="2">
        <v>45</v>
      </c>
      <c r="B46" s="2">
        <v>53</v>
      </c>
      <c r="C46" s="2" t="s">
        <v>29</v>
      </c>
      <c r="D46" s="2" t="s">
        <v>15</v>
      </c>
      <c r="E46" s="2" t="s">
        <v>20</v>
      </c>
      <c r="F46" s="2" t="s">
        <v>21</v>
      </c>
      <c r="G46" s="2">
        <v>3</v>
      </c>
      <c r="H46" s="2" t="s">
        <v>22</v>
      </c>
      <c r="I46" s="2" t="s">
        <v>19</v>
      </c>
      <c r="J46" s="2">
        <v>1729.21</v>
      </c>
      <c r="K46" s="2">
        <v>247.03</v>
      </c>
      <c r="L46" s="2">
        <v>7</v>
      </c>
      <c r="M46" s="3">
        <v>45535</v>
      </c>
      <c r="N46" s="2">
        <v>0</v>
      </c>
    </row>
    <row r="47" spans="1:14" x14ac:dyDescent="0.2">
      <c r="A47" s="2">
        <v>46</v>
      </c>
      <c r="B47" s="2">
        <v>45</v>
      </c>
      <c r="C47" s="2" t="s">
        <v>29</v>
      </c>
      <c r="D47" s="2" t="s">
        <v>26</v>
      </c>
      <c r="E47" s="2" t="s">
        <v>16</v>
      </c>
      <c r="F47" s="2" t="s">
        <v>17</v>
      </c>
      <c r="G47" s="2">
        <v>2</v>
      </c>
      <c r="H47" s="2" t="s">
        <v>22</v>
      </c>
      <c r="I47" s="2" t="s">
        <v>19</v>
      </c>
      <c r="J47" s="2">
        <v>6329.52</v>
      </c>
      <c r="K47" s="2">
        <v>791.19</v>
      </c>
      <c r="L47" s="2">
        <v>8</v>
      </c>
      <c r="M47" s="3">
        <v>45215</v>
      </c>
      <c r="N47" s="2">
        <v>92.79</v>
      </c>
    </row>
    <row r="48" spans="1:14" x14ac:dyDescent="0.2">
      <c r="A48" s="2">
        <v>47</v>
      </c>
      <c r="B48" s="2">
        <v>65</v>
      </c>
      <c r="C48" s="2" t="s">
        <v>29</v>
      </c>
      <c r="D48" s="2" t="s">
        <v>15</v>
      </c>
      <c r="E48" s="2" t="s">
        <v>16</v>
      </c>
      <c r="F48" s="2" t="s">
        <v>28</v>
      </c>
      <c r="G48" s="2">
        <v>5</v>
      </c>
      <c r="H48" s="2" t="s">
        <v>18</v>
      </c>
      <c r="I48" s="2" t="s">
        <v>19</v>
      </c>
      <c r="J48" s="2">
        <v>145.25</v>
      </c>
      <c r="K48" s="2">
        <v>20.75</v>
      </c>
      <c r="L48" s="2">
        <v>7</v>
      </c>
      <c r="M48" s="3">
        <v>45469</v>
      </c>
      <c r="N48" s="2">
        <v>53.02</v>
      </c>
    </row>
    <row r="49" spans="1:14" x14ac:dyDescent="0.2">
      <c r="A49" s="2">
        <v>48</v>
      </c>
      <c r="B49" s="2">
        <v>65</v>
      </c>
      <c r="C49" s="2" t="s">
        <v>29</v>
      </c>
      <c r="D49" s="2" t="s">
        <v>15</v>
      </c>
      <c r="E49" s="2" t="s">
        <v>30</v>
      </c>
      <c r="F49" s="2" t="s">
        <v>31</v>
      </c>
      <c r="G49" s="2">
        <v>3</v>
      </c>
      <c r="H49" s="2" t="s">
        <v>22</v>
      </c>
      <c r="I49" s="2" t="s">
        <v>27</v>
      </c>
      <c r="J49" s="2">
        <v>5913.81</v>
      </c>
      <c r="K49" s="2">
        <v>844.83</v>
      </c>
      <c r="L49" s="2">
        <v>7</v>
      </c>
      <c r="M49" s="3">
        <v>45489</v>
      </c>
      <c r="N49" s="2">
        <v>111.25</v>
      </c>
    </row>
    <row r="50" spans="1:14" x14ac:dyDescent="0.2">
      <c r="A50" s="2">
        <v>49</v>
      </c>
      <c r="B50" s="2">
        <v>76</v>
      </c>
      <c r="C50" s="2" t="s">
        <v>14</v>
      </c>
      <c r="D50" s="2" t="s">
        <v>15</v>
      </c>
      <c r="E50" s="2" t="s">
        <v>16</v>
      </c>
      <c r="F50" s="2" t="s">
        <v>28</v>
      </c>
      <c r="G50" s="2">
        <v>5</v>
      </c>
      <c r="H50" s="2" t="s">
        <v>22</v>
      </c>
      <c r="I50" s="2" t="s">
        <v>32</v>
      </c>
      <c r="J50" s="2">
        <v>207.5</v>
      </c>
      <c r="K50" s="2">
        <v>20.75</v>
      </c>
      <c r="L50" s="2">
        <v>10</v>
      </c>
      <c r="M50" s="3">
        <v>45356</v>
      </c>
      <c r="N50" s="2">
        <v>0</v>
      </c>
    </row>
    <row r="51" spans="1:14" x14ac:dyDescent="0.2">
      <c r="A51" s="2">
        <v>50</v>
      </c>
      <c r="B51" s="2">
        <v>73</v>
      </c>
      <c r="C51" s="2" t="s">
        <v>14</v>
      </c>
      <c r="D51" s="2" t="s">
        <v>15</v>
      </c>
      <c r="E51" s="2" t="s">
        <v>20</v>
      </c>
      <c r="F51" s="2" t="s">
        <v>21</v>
      </c>
      <c r="G51" s="2">
        <v>3</v>
      </c>
      <c r="H51" s="2" t="s">
        <v>22</v>
      </c>
      <c r="I51" s="2" t="s">
        <v>32</v>
      </c>
      <c r="J51" s="2">
        <v>2470.3000000000002</v>
      </c>
      <c r="K51" s="2">
        <v>247.03</v>
      </c>
      <c r="L51" s="2">
        <v>10</v>
      </c>
      <c r="M51" s="3">
        <v>45271</v>
      </c>
      <c r="N51" s="2">
        <v>63.23</v>
      </c>
    </row>
    <row r="52" spans="1:14" x14ac:dyDescent="0.2">
      <c r="A52" s="2">
        <f>50+1</f>
        <v>51</v>
      </c>
      <c r="B52" s="2">
        <v>67</v>
      </c>
      <c r="C52" s="2" t="s">
        <v>29</v>
      </c>
      <c r="D52" s="2" t="s">
        <v>15</v>
      </c>
      <c r="E52" s="2" t="s">
        <v>20</v>
      </c>
      <c r="F52" s="2" t="s">
        <v>21</v>
      </c>
      <c r="G52" s="2">
        <v>3</v>
      </c>
      <c r="H52" s="2" t="s">
        <v>18</v>
      </c>
      <c r="I52" s="2" t="s">
        <v>32</v>
      </c>
      <c r="J52" s="2">
        <v>2470.3000000000002</v>
      </c>
      <c r="K52" s="2">
        <v>247.03</v>
      </c>
      <c r="L52" s="2">
        <v>10</v>
      </c>
      <c r="M52" s="3">
        <v>45227</v>
      </c>
      <c r="N52" s="2">
        <v>0</v>
      </c>
    </row>
    <row r="53" spans="1:14" x14ac:dyDescent="0.2">
      <c r="A53" s="2">
        <v>52</v>
      </c>
      <c r="B53" s="2">
        <v>50</v>
      </c>
      <c r="C53" s="2" t="s">
        <v>29</v>
      </c>
      <c r="D53" s="2" t="s">
        <v>15</v>
      </c>
      <c r="E53" s="2" t="s">
        <v>16</v>
      </c>
      <c r="F53" s="2" t="s">
        <v>28</v>
      </c>
      <c r="G53" s="2">
        <v>5</v>
      </c>
      <c r="H53" s="2" t="s">
        <v>22</v>
      </c>
      <c r="I53" s="2" t="s">
        <v>23</v>
      </c>
      <c r="J53" s="2">
        <v>145.25</v>
      </c>
      <c r="K53" s="2">
        <v>20.75</v>
      </c>
      <c r="L53" s="2">
        <v>7</v>
      </c>
      <c r="M53" s="3">
        <v>45468</v>
      </c>
      <c r="N53" s="2">
        <v>86.36</v>
      </c>
    </row>
    <row r="54" spans="1:14" x14ac:dyDescent="0.2">
      <c r="A54" s="2">
        <v>53</v>
      </c>
      <c r="B54" s="2">
        <v>72</v>
      </c>
      <c r="C54" s="2" t="s">
        <v>14</v>
      </c>
      <c r="D54" s="2" t="s">
        <v>15</v>
      </c>
      <c r="E54" s="2" t="s">
        <v>30</v>
      </c>
      <c r="F54" s="2" t="s">
        <v>31</v>
      </c>
      <c r="G54" s="2">
        <v>3</v>
      </c>
      <c r="H54" s="2" t="s">
        <v>18</v>
      </c>
      <c r="I54" s="2" t="s">
        <v>27</v>
      </c>
      <c r="J54" s="2">
        <v>5068.9799999999996</v>
      </c>
      <c r="K54" s="2">
        <v>844.83</v>
      </c>
      <c r="L54" s="2">
        <v>6</v>
      </c>
      <c r="M54" s="3">
        <v>45507</v>
      </c>
      <c r="N54" s="2">
        <v>45.46</v>
      </c>
    </row>
    <row r="55" spans="1:14" x14ac:dyDescent="0.2">
      <c r="A55" s="2">
        <v>54</v>
      </c>
      <c r="B55" s="2">
        <v>79</v>
      </c>
      <c r="C55" s="2" t="s">
        <v>29</v>
      </c>
      <c r="D55" s="2" t="s">
        <v>15</v>
      </c>
      <c r="E55" s="2" t="s">
        <v>24</v>
      </c>
      <c r="F55" s="2" t="s">
        <v>25</v>
      </c>
      <c r="G55" s="2">
        <v>3</v>
      </c>
      <c r="H55" s="2" t="s">
        <v>22</v>
      </c>
      <c r="I55" s="2" t="s">
        <v>32</v>
      </c>
      <c r="J55" s="2">
        <v>4175.6400000000003</v>
      </c>
      <c r="K55" s="2">
        <v>463.96</v>
      </c>
      <c r="L55" s="2">
        <v>9</v>
      </c>
      <c r="M55" s="3">
        <v>45280</v>
      </c>
      <c r="N55" s="2">
        <v>88.3</v>
      </c>
    </row>
    <row r="56" spans="1:14" x14ac:dyDescent="0.2">
      <c r="A56" s="2">
        <v>55</v>
      </c>
      <c r="B56" s="2">
        <v>30</v>
      </c>
      <c r="C56" s="2" t="s">
        <v>29</v>
      </c>
      <c r="D56" s="2" t="s">
        <v>26</v>
      </c>
      <c r="E56" s="2" t="s">
        <v>16</v>
      </c>
      <c r="F56" s="2" t="s">
        <v>28</v>
      </c>
      <c r="G56" s="2">
        <v>5</v>
      </c>
      <c r="H56" s="2" t="s">
        <v>22</v>
      </c>
      <c r="I56" s="2" t="s">
        <v>23</v>
      </c>
      <c r="J56" s="2">
        <v>62.25</v>
      </c>
      <c r="K56" s="2">
        <v>20.75</v>
      </c>
      <c r="L56" s="2">
        <v>3</v>
      </c>
      <c r="M56" s="3">
        <v>45420</v>
      </c>
      <c r="N56" s="2">
        <v>79.900000000000006</v>
      </c>
    </row>
    <row r="57" spans="1:14" x14ac:dyDescent="0.2">
      <c r="A57" s="2">
        <v>56</v>
      </c>
      <c r="B57" s="2">
        <v>24</v>
      </c>
      <c r="C57" s="2" t="s">
        <v>29</v>
      </c>
      <c r="D57" s="2" t="s">
        <v>15</v>
      </c>
      <c r="E57" s="2" t="s">
        <v>24</v>
      </c>
      <c r="F57" s="2" t="s">
        <v>25</v>
      </c>
      <c r="G57" s="2">
        <v>3</v>
      </c>
      <c r="H57" s="2" t="s">
        <v>22</v>
      </c>
      <c r="I57" s="2" t="s">
        <v>19</v>
      </c>
      <c r="J57" s="2">
        <v>1855.84</v>
      </c>
      <c r="K57" s="2">
        <v>463.96</v>
      </c>
      <c r="L57" s="2">
        <v>4</v>
      </c>
      <c r="M57" s="3">
        <v>45409</v>
      </c>
      <c r="N57" s="2">
        <v>41.24</v>
      </c>
    </row>
    <row r="58" spans="1:14" x14ac:dyDescent="0.2">
      <c r="A58" s="2">
        <v>57</v>
      </c>
      <c r="B58" s="2">
        <v>71</v>
      </c>
      <c r="C58" s="2" t="s">
        <v>29</v>
      </c>
      <c r="D58" s="2" t="s">
        <v>15</v>
      </c>
      <c r="E58" s="2" t="s">
        <v>30</v>
      </c>
      <c r="F58" s="2" t="s">
        <v>31</v>
      </c>
      <c r="G58" s="2">
        <v>3</v>
      </c>
      <c r="H58" s="2" t="s">
        <v>18</v>
      </c>
      <c r="I58" s="2" t="s">
        <v>23</v>
      </c>
      <c r="J58" s="2">
        <v>7603.47</v>
      </c>
      <c r="K58" s="2">
        <v>844.83</v>
      </c>
      <c r="L58" s="2">
        <v>9</v>
      </c>
      <c r="M58" s="3">
        <v>45221</v>
      </c>
      <c r="N58" s="2">
        <v>0</v>
      </c>
    </row>
    <row r="59" spans="1:14" x14ac:dyDescent="0.2">
      <c r="A59" s="2">
        <v>58</v>
      </c>
      <c r="B59" s="2">
        <v>71</v>
      </c>
      <c r="C59" s="2" t="s">
        <v>29</v>
      </c>
      <c r="D59" s="2" t="s">
        <v>15</v>
      </c>
      <c r="E59" s="2" t="s">
        <v>20</v>
      </c>
      <c r="F59" s="2" t="s">
        <v>21</v>
      </c>
      <c r="G59" s="2">
        <v>3</v>
      </c>
      <c r="H59" s="2" t="s">
        <v>18</v>
      </c>
      <c r="I59" s="2" t="s">
        <v>32</v>
      </c>
      <c r="J59" s="2">
        <v>1482.18</v>
      </c>
      <c r="K59" s="2">
        <v>247.03</v>
      </c>
      <c r="L59" s="2">
        <v>6</v>
      </c>
      <c r="M59" s="3">
        <v>45379</v>
      </c>
      <c r="N59" s="2">
        <v>116.77</v>
      </c>
    </row>
    <row r="60" spans="1:14" x14ac:dyDescent="0.2">
      <c r="A60" s="2">
        <v>59</v>
      </c>
      <c r="B60" s="2">
        <v>21</v>
      </c>
      <c r="C60" s="2" t="s">
        <v>29</v>
      </c>
      <c r="D60" s="2" t="s">
        <v>15</v>
      </c>
      <c r="E60" s="2" t="s">
        <v>16</v>
      </c>
      <c r="F60" s="2" t="s">
        <v>28</v>
      </c>
      <c r="G60" s="2">
        <v>5</v>
      </c>
      <c r="H60" s="2" t="s">
        <v>22</v>
      </c>
      <c r="I60" s="2" t="s">
        <v>23</v>
      </c>
      <c r="J60" s="2">
        <v>166</v>
      </c>
      <c r="K60" s="2">
        <v>20.75</v>
      </c>
      <c r="L60" s="2">
        <v>8</v>
      </c>
      <c r="M60" s="3">
        <v>45455</v>
      </c>
      <c r="N60" s="2">
        <v>92.57</v>
      </c>
    </row>
    <row r="61" spans="1:14" x14ac:dyDescent="0.2">
      <c r="A61" s="2">
        <v>60</v>
      </c>
      <c r="B61" s="2">
        <v>21</v>
      </c>
      <c r="C61" s="2" t="s">
        <v>29</v>
      </c>
      <c r="D61" s="2" t="s">
        <v>15</v>
      </c>
      <c r="E61" s="2" t="s">
        <v>16</v>
      </c>
      <c r="F61" s="2" t="s">
        <v>17</v>
      </c>
      <c r="G61" s="2">
        <v>2</v>
      </c>
      <c r="H61" s="2" t="s">
        <v>18</v>
      </c>
      <c r="I61" s="2" t="s">
        <v>19</v>
      </c>
      <c r="J61" s="2">
        <v>3955.95</v>
      </c>
      <c r="K61" s="2">
        <v>791.19</v>
      </c>
      <c r="L61" s="2">
        <v>5</v>
      </c>
      <c r="M61" s="3">
        <v>45481</v>
      </c>
      <c r="N61" s="2">
        <v>0</v>
      </c>
    </row>
    <row r="62" spans="1:14" x14ac:dyDescent="0.2">
      <c r="A62" s="2">
        <v>61</v>
      </c>
      <c r="B62" s="2">
        <v>37</v>
      </c>
      <c r="C62" s="2" t="s">
        <v>14</v>
      </c>
      <c r="D62" s="2" t="s">
        <v>15</v>
      </c>
      <c r="E62" s="2" t="s">
        <v>24</v>
      </c>
      <c r="F62" s="2" t="s">
        <v>25</v>
      </c>
      <c r="G62" s="2">
        <v>3</v>
      </c>
      <c r="H62" s="2" t="s">
        <v>22</v>
      </c>
      <c r="I62" s="2" t="s">
        <v>23</v>
      </c>
      <c r="J62" s="2">
        <v>3247.72</v>
      </c>
      <c r="K62" s="2">
        <v>463.96</v>
      </c>
      <c r="L62" s="2">
        <v>7</v>
      </c>
      <c r="M62" s="3">
        <v>45344</v>
      </c>
      <c r="N62" s="2">
        <v>66.17</v>
      </c>
    </row>
    <row r="63" spans="1:14" x14ac:dyDescent="0.2">
      <c r="A63" s="2">
        <v>62</v>
      </c>
      <c r="B63" s="2">
        <v>37</v>
      </c>
      <c r="C63" s="2" t="s">
        <v>14</v>
      </c>
      <c r="D63" s="2" t="s">
        <v>15</v>
      </c>
      <c r="E63" s="2" t="s">
        <v>24</v>
      </c>
      <c r="F63" s="2" t="s">
        <v>25</v>
      </c>
      <c r="G63" s="2">
        <v>3</v>
      </c>
      <c r="H63" s="2" t="s">
        <v>22</v>
      </c>
      <c r="I63" s="2" t="s">
        <v>32</v>
      </c>
      <c r="J63" s="2">
        <v>463.96</v>
      </c>
      <c r="K63" s="2">
        <v>463.96</v>
      </c>
      <c r="L63" s="2">
        <v>1</v>
      </c>
      <c r="M63" s="3">
        <v>45470</v>
      </c>
      <c r="N63" s="2">
        <v>5.52</v>
      </c>
    </row>
    <row r="64" spans="1:14" x14ac:dyDescent="0.2">
      <c r="A64" s="2">
        <v>63</v>
      </c>
      <c r="B64" s="2">
        <v>72</v>
      </c>
      <c r="C64" s="2" t="s">
        <v>14</v>
      </c>
      <c r="D64" s="2" t="s">
        <v>26</v>
      </c>
      <c r="E64" s="2" t="s">
        <v>24</v>
      </c>
      <c r="F64" s="2" t="s">
        <v>25</v>
      </c>
      <c r="G64" s="2">
        <v>3</v>
      </c>
      <c r="H64" s="2" t="s">
        <v>22</v>
      </c>
      <c r="I64" s="2" t="s">
        <v>19</v>
      </c>
      <c r="J64" s="2">
        <v>1855.84</v>
      </c>
      <c r="K64" s="2">
        <v>463.96</v>
      </c>
      <c r="L64" s="2">
        <v>4</v>
      </c>
      <c r="M64" s="3">
        <v>45197</v>
      </c>
      <c r="N64" s="2">
        <v>52.01</v>
      </c>
    </row>
    <row r="65" spans="1:14" x14ac:dyDescent="0.2">
      <c r="A65" s="2">
        <v>64</v>
      </c>
      <c r="B65" s="2">
        <v>72</v>
      </c>
      <c r="C65" s="2" t="s">
        <v>14</v>
      </c>
      <c r="D65" s="2" t="s">
        <v>26</v>
      </c>
      <c r="E65" s="2" t="s">
        <v>20</v>
      </c>
      <c r="F65" s="2" t="s">
        <v>21</v>
      </c>
      <c r="G65" s="2">
        <v>3</v>
      </c>
      <c r="H65" s="2" t="s">
        <v>22</v>
      </c>
      <c r="I65" s="2" t="s">
        <v>23</v>
      </c>
      <c r="J65" s="2">
        <v>1482.18</v>
      </c>
      <c r="K65" s="2">
        <v>247.03</v>
      </c>
      <c r="L65" s="2">
        <v>6</v>
      </c>
      <c r="M65" s="3">
        <v>45267</v>
      </c>
      <c r="N65" s="2">
        <v>31.89</v>
      </c>
    </row>
    <row r="66" spans="1:14" x14ac:dyDescent="0.2">
      <c r="A66" s="2">
        <v>65</v>
      </c>
      <c r="B66" s="2">
        <v>72</v>
      </c>
      <c r="C66" s="2" t="s">
        <v>14</v>
      </c>
      <c r="D66" s="2" t="s">
        <v>15</v>
      </c>
      <c r="E66" s="2" t="s">
        <v>16</v>
      </c>
      <c r="F66" s="2" t="s">
        <v>17</v>
      </c>
      <c r="G66" s="2">
        <v>2</v>
      </c>
      <c r="H66" s="2" t="s">
        <v>22</v>
      </c>
      <c r="I66" s="2" t="s">
        <v>23</v>
      </c>
      <c r="J66" s="2">
        <v>1582.38</v>
      </c>
      <c r="K66" s="2">
        <v>791.19</v>
      </c>
      <c r="L66" s="2">
        <v>2</v>
      </c>
      <c r="M66" s="3">
        <v>45320</v>
      </c>
      <c r="N66" s="2">
        <v>49.59</v>
      </c>
    </row>
    <row r="67" spans="1:14" x14ac:dyDescent="0.2">
      <c r="A67" s="2">
        <v>66</v>
      </c>
      <c r="B67" s="2">
        <v>56</v>
      </c>
      <c r="C67" s="2" t="s">
        <v>14</v>
      </c>
      <c r="D67" s="2" t="s">
        <v>26</v>
      </c>
      <c r="E67" s="2" t="s">
        <v>20</v>
      </c>
      <c r="F67" s="2" t="s">
        <v>21</v>
      </c>
      <c r="G67" s="2">
        <v>3</v>
      </c>
      <c r="H67" s="2" t="s">
        <v>22</v>
      </c>
      <c r="I67" s="2" t="s">
        <v>27</v>
      </c>
      <c r="J67" s="2">
        <v>1976.24</v>
      </c>
      <c r="K67" s="2">
        <v>247.03</v>
      </c>
      <c r="L67" s="2">
        <v>8</v>
      </c>
      <c r="M67" s="3">
        <v>45224</v>
      </c>
      <c r="N67" s="2">
        <v>14.49</v>
      </c>
    </row>
    <row r="68" spans="1:14" x14ac:dyDescent="0.2">
      <c r="A68" s="2">
        <v>67</v>
      </c>
      <c r="B68" s="2">
        <v>56</v>
      </c>
      <c r="C68" s="2" t="s">
        <v>14</v>
      </c>
      <c r="D68" s="2" t="s">
        <v>15</v>
      </c>
      <c r="E68" s="2" t="s">
        <v>24</v>
      </c>
      <c r="F68" s="2" t="s">
        <v>25</v>
      </c>
      <c r="G68" s="2">
        <v>3</v>
      </c>
      <c r="H68" s="2" t="s">
        <v>22</v>
      </c>
      <c r="I68" s="2" t="s">
        <v>23</v>
      </c>
      <c r="J68" s="2">
        <v>463.96</v>
      </c>
      <c r="K68" s="2">
        <v>463.96</v>
      </c>
      <c r="L68" s="2">
        <v>1</v>
      </c>
      <c r="M68" s="3">
        <v>45433</v>
      </c>
      <c r="N68" s="2">
        <v>83.41</v>
      </c>
    </row>
    <row r="69" spans="1:14" x14ac:dyDescent="0.2">
      <c r="A69" s="2">
        <v>68</v>
      </c>
      <c r="B69" s="2">
        <v>62</v>
      </c>
      <c r="C69" s="2" t="s">
        <v>14</v>
      </c>
      <c r="D69" s="2" t="s">
        <v>15</v>
      </c>
      <c r="E69" s="2" t="s">
        <v>16</v>
      </c>
      <c r="F69" s="2" t="s">
        <v>17</v>
      </c>
      <c r="G69" s="2">
        <v>2</v>
      </c>
      <c r="H69" s="2" t="s">
        <v>22</v>
      </c>
      <c r="I69" s="2" t="s">
        <v>32</v>
      </c>
      <c r="J69" s="2">
        <v>6329.52</v>
      </c>
      <c r="K69" s="2">
        <v>791.19</v>
      </c>
      <c r="L69" s="2">
        <v>8</v>
      </c>
      <c r="M69" s="3">
        <v>45374</v>
      </c>
      <c r="N69" s="2">
        <v>26.24</v>
      </c>
    </row>
    <row r="70" spans="1:14" x14ac:dyDescent="0.2">
      <c r="A70" s="2">
        <v>69</v>
      </c>
      <c r="B70" s="2">
        <v>64</v>
      </c>
      <c r="C70" s="2" t="s">
        <v>14</v>
      </c>
      <c r="D70" s="2" t="s">
        <v>26</v>
      </c>
      <c r="E70" s="2" t="s">
        <v>24</v>
      </c>
      <c r="F70" s="2" t="s">
        <v>25</v>
      </c>
      <c r="G70" s="2">
        <v>3</v>
      </c>
      <c r="H70" s="2" t="s">
        <v>22</v>
      </c>
      <c r="I70" s="2" t="s">
        <v>23</v>
      </c>
      <c r="J70" s="2">
        <v>1855.84</v>
      </c>
      <c r="K70" s="2">
        <v>463.96</v>
      </c>
      <c r="L70" s="2">
        <v>4</v>
      </c>
      <c r="M70" s="3">
        <v>45407</v>
      </c>
      <c r="N70" s="2">
        <v>0</v>
      </c>
    </row>
    <row r="71" spans="1:14" x14ac:dyDescent="0.2">
      <c r="A71" s="2">
        <v>70</v>
      </c>
      <c r="B71" s="2">
        <v>64</v>
      </c>
      <c r="C71" s="2" t="s">
        <v>14</v>
      </c>
      <c r="D71" s="2" t="s">
        <v>15</v>
      </c>
      <c r="E71" s="2" t="s">
        <v>16</v>
      </c>
      <c r="F71" s="2" t="s">
        <v>17</v>
      </c>
      <c r="G71" s="2">
        <v>2</v>
      </c>
      <c r="H71" s="2" t="s">
        <v>18</v>
      </c>
      <c r="I71" s="2" t="s">
        <v>19</v>
      </c>
      <c r="J71" s="2">
        <v>2373.5700000000002</v>
      </c>
      <c r="K71" s="2">
        <v>791.19</v>
      </c>
      <c r="L71" s="2">
        <v>3</v>
      </c>
      <c r="M71" s="3">
        <v>45481</v>
      </c>
      <c r="N71" s="2">
        <v>6.47</v>
      </c>
    </row>
    <row r="72" spans="1:14" x14ac:dyDescent="0.2">
      <c r="A72" s="2">
        <v>71</v>
      </c>
      <c r="B72" s="2">
        <v>44</v>
      </c>
      <c r="C72" s="2" t="s">
        <v>29</v>
      </c>
      <c r="D72" s="2" t="s">
        <v>15</v>
      </c>
      <c r="E72" s="2" t="s">
        <v>16</v>
      </c>
      <c r="F72" s="2" t="s">
        <v>17</v>
      </c>
      <c r="G72" s="2">
        <v>2</v>
      </c>
      <c r="H72" s="2" t="s">
        <v>18</v>
      </c>
      <c r="I72" s="2" t="s">
        <v>23</v>
      </c>
      <c r="J72" s="2">
        <v>2373.5700000000002</v>
      </c>
      <c r="K72" s="2">
        <v>791.19</v>
      </c>
      <c r="L72" s="2">
        <v>3</v>
      </c>
      <c r="M72" s="3">
        <v>45350</v>
      </c>
      <c r="N72" s="2">
        <v>43.16</v>
      </c>
    </row>
    <row r="73" spans="1:14" x14ac:dyDescent="0.2">
      <c r="A73" s="2">
        <v>72</v>
      </c>
      <c r="B73" s="2">
        <v>44</v>
      </c>
      <c r="C73" s="2" t="s">
        <v>29</v>
      </c>
      <c r="D73" s="2" t="s">
        <v>15</v>
      </c>
      <c r="E73" s="2" t="s">
        <v>16</v>
      </c>
      <c r="F73" s="2" t="s">
        <v>17</v>
      </c>
      <c r="G73" s="2">
        <v>2</v>
      </c>
      <c r="H73" s="2" t="s">
        <v>22</v>
      </c>
      <c r="I73" s="2" t="s">
        <v>19</v>
      </c>
      <c r="J73" s="2">
        <v>2373.5700000000002</v>
      </c>
      <c r="K73" s="2">
        <v>791.19</v>
      </c>
      <c r="L73" s="2">
        <v>3</v>
      </c>
      <c r="M73" s="3">
        <v>45486</v>
      </c>
      <c r="N73" s="2">
        <v>40.68</v>
      </c>
    </row>
    <row r="74" spans="1:14" x14ac:dyDescent="0.2">
      <c r="A74" s="2">
        <v>73</v>
      </c>
      <c r="B74" s="2">
        <v>49</v>
      </c>
      <c r="C74" s="2" t="s">
        <v>14</v>
      </c>
      <c r="D74" s="2" t="s">
        <v>15</v>
      </c>
      <c r="E74" s="2" t="s">
        <v>20</v>
      </c>
      <c r="F74" s="2" t="s">
        <v>21</v>
      </c>
      <c r="G74" s="2">
        <v>3</v>
      </c>
      <c r="H74" s="2" t="s">
        <v>18</v>
      </c>
      <c r="I74" s="2" t="s">
        <v>23</v>
      </c>
      <c r="J74" s="2">
        <v>1729.21</v>
      </c>
      <c r="K74" s="2">
        <v>247.03</v>
      </c>
      <c r="L74" s="2">
        <v>7</v>
      </c>
      <c r="M74" s="3">
        <v>45216</v>
      </c>
      <c r="N74" s="2">
        <v>0</v>
      </c>
    </row>
    <row r="75" spans="1:14" x14ac:dyDescent="0.2">
      <c r="A75" s="2">
        <v>74</v>
      </c>
      <c r="B75" s="2">
        <v>49</v>
      </c>
      <c r="C75" s="2" t="s">
        <v>14</v>
      </c>
      <c r="D75" s="2" t="s">
        <v>15</v>
      </c>
      <c r="E75" s="2" t="s">
        <v>30</v>
      </c>
      <c r="F75" s="2" t="s">
        <v>31</v>
      </c>
      <c r="G75" s="2">
        <v>3</v>
      </c>
      <c r="H75" s="2" t="s">
        <v>22</v>
      </c>
      <c r="I75" s="2" t="s">
        <v>32</v>
      </c>
      <c r="J75" s="2">
        <v>1689.66</v>
      </c>
      <c r="K75" s="2">
        <v>844.83</v>
      </c>
      <c r="L75" s="2">
        <v>2</v>
      </c>
      <c r="M75" s="3">
        <v>45290</v>
      </c>
      <c r="N75" s="2">
        <v>81.55</v>
      </c>
    </row>
    <row r="76" spans="1:14" x14ac:dyDescent="0.2">
      <c r="A76" s="2">
        <v>75</v>
      </c>
      <c r="B76" s="2">
        <v>27</v>
      </c>
      <c r="C76" s="2" t="s">
        <v>14</v>
      </c>
      <c r="D76" s="2" t="s">
        <v>15</v>
      </c>
      <c r="E76" s="2" t="s">
        <v>16</v>
      </c>
      <c r="F76" s="2" t="s">
        <v>28</v>
      </c>
      <c r="G76" s="2">
        <v>5</v>
      </c>
      <c r="H76" s="2" t="s">
        <v>22</v>
      </c>
      <c r="I76" s="2" t="s">
        <v>27</v>
      </c>
      <c r="J76" s="2">
        <v>145.25</v>
      </c>
      <c r="K76" s="2">
        <v>20.75</v>
      </c>
      <c r="L76" s="2">
        <v>7</v>
      </c>
      <c r="M76" s="3">
        <v>45433</v>
      </c>
      <c r="N76" s="2">
        <v>96.61</v>
      </c>
    </row>
    <row r="77" spans="1:14" x14ac:dyDescent="0.2">
      <c r="A77" s="2">
        <v>76</v>
      </c>
      <c r="B77" s="2">
        <v>30</v>
      </c>
      <c r="C77" s="2" t="s">
        <v>14</v>
      </c>
      <c r="D77" s="2" t="s">
        <v>15</v>
      </c>
      <c r="E77" s="2" t="s">
        <v>16</v>
      </c>
      <c r="F77" s="2" t="s">
        <v>28</v>
      </c>
      <c r="G77" s="2">
        <v>5</v>
      </c>
      <c r="H77" s="2" t="s">
        <v>18</v>
      </c>
      <c r="I77" s="2" t="s">
        <v>23</v>
      </c>
      <c r="J77" s="2">
        <v>62.25</v>
      </c>
      <c r="K77" s="2">
        <v>20.75</v>
      </c>
      <c r="L77" s="2">
        <v>3</v>
      </c>
      <c r="M77" s="3">
        <v>45259</v>
      </c>
      <c r="N77" s="2">
        <v>6.3</v>
      </c>
    </row>
    <row r="78" spans="1:14" x14ac:dyDescent="0.2">
      <c r="A78" s="2">
        <v>77</v>
      </c>
      <c r="B78" s="2">
        <v>54</v>
      </c>
      <c r="C78" s="2" t="s">
        <v>29</v>
      </c>
      <c r="D78" s="2" t="s">
        <v>15</v>
      </c>
      <c r="E78" s="2" t="s">
        <v>30</v>
      </c>
      <c r="F78" s="2" t="s">
        <v>31</v>
      </c>
      <c r="G78" s="2">
        <v>3</v>
      </c>
      <c r="H78" s="2" t="s">
        <v>22</v>
      </c>
      <c r="I78" s="2" t="s">
        <v>32</v>
      </c>
      <c r="J78" s="2">
        <v>7603.47</v>
      </c>
      <c r="K78" s="2">
        <v>844.83</v>
      </c>
      <c r="L78" s="2">
        <v>9</v>
      </c>
      <c r="M78" s="3">
        <v>45460</v>
      </c>
      <c r="N78" s="2">
        <v>0</v>
      </c>
    </row>
    <row r="79" spans="1:14" x14ac:dyDescent="0.2">
      <c r="A79" s="2">
        <v>78</v>
      </c>
      <c r="B79" s="2">
        <v>46</v>
      </c>
      <c r="C79" s="2" t="s">
        <v>29</v>
      </c>
      <c r="D79" s="2" t="s">
        <v>15</v>
      </c>
      <c r="E79" s="2" t="s">
        <v>20</v>
      </c>
      <c r="F79" s="2" t="s">
        <v>21</v>
      </c>
      <c r="G79" s="2">
        <v>3</v>
      </c>
      <c r="H79" s="2" t="s">
        <v>22</v>
      </c>
      <c r="I79" s="2" t="s">
        <v>27</v>
      </c>
      <c r="J79" s="2">
        <v>2223.27</v>
      </c>
      <c r="K79" s="2">
        <v>247.03</v>
      </c>
      <c r="L79" s="2">
        <v>9</v>
      </c>
      <c r="M79" s="3">
        <v>45484</v>
      </c>
      <c r="N79" s="2">
        <v>8.66</v>
      </c>
    </row>
    <row r="80" spans="1:14" x14ac:dyDescent="0.2">
      <c r="A80" s="2">
        <v>79</v>
      </c>
      <c r="B80" s="2">
        <v>46</v>
      </c>
      <c r="C80" s="2" t="s">
        <v>29</v>
      </c>
      <c r="D80" s="2" t="s">
        <v>26</v>
      </c>
      <c r="E80" s="2" t="s">
        <v>20</v>
      </c>
      <c r="F80" s="2" t="s">
        <v>21</v>
      </c>
      <c r="G80" s="2">
        <v>3</v>
      </c>
      <c r="H80" s="2" t="s">
        <v>22</v>
      </c>
      <c r="I80" s="2" t="s">
        <v>19</v>
      </c>
      <c r="J80" s="2">
        <v>1976.24</v>
      </c>
      <c r="K80" s="2">
        <v>247.03</v>
      </c>
      <c r="L80" s="2">
        <v>8</v>
      </c>
      <c r="M80" s="3">
        <v>45547</v>
      </c>
      <c r="N80" s="2">
        <v>46.38</v>
      </c>
    </row>
    <row r="81" spans="1:14" x14ac:dyDescent="0.2">
      <c r="A81" s="2">
        <v>80</v>
      </c>
      <c r="B81" s="2">
        <v>58</v>
      </c>
      <c r="C81" s="2" t="s">
        <v>14</v>
      </c>
      <c r="D81" s="2" t="s">
        <v>15</v>
      </c>
      <c r="E81" s="2" t="s">
        <v>30</v>
      </c>
      <c r="F81" s="2" t="s">
        <v>31</v>
      </c>
      <c r="G81" s="2">
        <v>3</v>
      </c>
      <c r="H81" s="2" t="s">
        <v>22</v>
      </c>
      <c r="I81" s="2" t="s">
        <v>27</v>
      </c>
      <c r="J81" s="2">
        <v>7603.47</v>
      </c>
      <c r="K81" s="2">
        <v>844.83</v>
      </c>
      <c r="L81" s="2">
        <v>9</v>
      </c>
      <c r="M81" s="3">
        <v>45236</v>
      </c>
      <c r="N81" s="2">
        <v>58.95</v>
      </c>
    </row>
    <row r="82" spans="1:14" x14ac:dyDescent="0.2">
      <c r="A82" s="2">
        <v>81</v>
      </c>
      <c r="B82" s="2">
        <v>26</v>
      </c>
      <c r="C82" s="2" t="s">
        <v>14</v>
      </c>
      <c r="D82" s="2" t="s">
        <v>15</v>
      </c>
      <c r="E82" s="2" t="s">
        <v>16</v>
      </c>
      <c r="F82" s="2" t="s">
        <v>17</v>
      </c>
      <c r="G82" s="2">
        <v>2</v>
      </c>
      <c r="H82" s="2" t="s">
        <v>22</v>
      </c>
      <c r="I82" s="2" t="s">
        <v>27</v>
      </c>
      <c r="J82" s="2">
        <v>2373.5700000000002</v>
      </c>
      <c r="K82" s="2">
        <v>791.19</v>
      </c>
      <c r="L82" s="2">
        <v>3</v>
      </c>
      <c r="M82" s="3">
        <v>45286</v>
      </c>
      <c r="N82" s="2">
        <v>12.28</v>
      </c>
    </row>
    <row r="83" spans="1:14" x14ac:dyDescent="0.2">
      <c r="A83" s="2">
        <v>82</v>
      </c>
      <c r="B83" s="2">
        <v>26</v>
      </c>
      <c r="C83" s="2" t="s">
        <v>14</v>
      </c>
      <c r="D83" s="2" t="s">
        <v>15</v>
      </c>
      <c r="E83" s="2" t="s">
        <v>20</v>
      </c>
      <c r="F83" s="2" t="s">
        <v>21</v>
      </c>
      <c r="G83" s="2">
        <v>3</v>
      </c>
      <c r="H83" s="2" t="s">
        <v>22</v>
      </c>
      <c r="I83" s="2" t="s">
        <v>27</v>
      </c>
      <c r="J83" s="2">
        <v>1482.18</v>
      </c>
      <c r="K83" s="2">
        <v>247.03</v>
      </c>
      <c r="L83" s="2">
        <v>6</v>
      </c>
      <c r="M83" s="3">
        <v>45426</v>
      </c>
      <c r="N83" s="2">
        <v>12.86</v>
      </c>
    </row>
    <row r="84" spans="1:14" x14ac:dyDescent="0.2">
      <c r="A84" s="2">
        <v>83</v>
      </c>
      <c r="B84" s="2">
        <v>64</v>
      </c>
      <c r="C84" s="2" t="s">
        <v>14</v>
      </c>
      <c r="D84" s="2" t="s">
        <v>15</v>
      </c>
      <c r="E84" s="2" t="s">
        <v>16</v>
      </c>
      <c r="F84" s="2" t="s">
        <v>28</v>
      </c>
      <c r="G84" s="2">
        <v>5</v>
      </c>
      <c r="H84" s="2" t="s">
        <v>22</v>
      </c>
      <c r="I84" s="2" t="s">
        <v>23</v>
      </c>
      <c r="J84" s="2">
        <v>41.5</v>
      </c>
      <c r="K84" s="2">
        <v>20.75</v>
      </c>
      <c r="L84" s="2">
        <v>2</v>
      </c>
      <c r="M84" s="3">
        <v>45223</v>
      </c>
      <c r="N84" s="2">
        <v>25.61</v>
      </c>
    </row>
    <row r="85" spans="1:14" x14ac:dyDescent="0.2">
      <c r="A85" s="2">
        <v>84</v>
      </c>
      <c r="B85" s="2">
        <v>64</v>
      </c>
      <c r="C85" s="2" t="s">
        <v>14</v>
      </c>
      <c r="D85" s="2" t="s">
        <v>26</v>
      </c>
      <c r="E85" s="2" t="s">
        <v>16</v>
      </c>
      <c r="F85" s="2" t="s">
        <v>17</v>
      </c>
      <c r="G85" s="2">
        <v>2</v>
      </c>
      <c r="H85" s="2" t="s">
        <v>22</v>
      </c>
      <c r="I85" s="2" t="s">
        <v>23</v>
      </c>
      <c r="J85" s="2">
        <v>3164.76</v>
      </c>
      <c r="K85" s="2">
        <v>791.19</v>
      </c>
      <c r="L85" s="2">
        <v>4</v>
      </c>
      <c r="M85" s="3">
        <v>45547</v>
      </c>
      <c r="N85" s="2">
        <v>8.16</v>
      </c>
    </row>
    <row r="86" spans="1:14" x14ac:dyDescent="0.2">
      <c r="A86" s="2">
        <v>85</v>
      </c>
      <c r="B86" s="2">
        <v>64</v>
      </c>
      <c r="C86" s="2" t="s">
        <v>14</v>
      </c>
      <c r="D86" s="2" t="s">
        <v>15</v>
      </c>
      <c r="E86" s="2" t="s">
        <v>16</v>
      </c>
      <c r="F86" s="2" t="s">
        <v>17</v>
      </c>
      <c r="G86" s="2">
        <v>2</v>
      </c>
      <c r="H86" s="2" t="s">
        <v>22</v>
      </c>
      <c r="I86" s="2" t="s">
        <v>32</v>
      </c>
      <c r="J86" s="2">
        <v>2373.5700000000002</v>
      </c>
      <c r="K86" s="2">
        <v>791.19</v>
      </c>
      <c r="L86" s="2">
        <v>3</v>
      </c>
      <c r="M86" s="3">
        <v>45550</v>
      </c>
      <c r="N86" s="2">
        <v>101.06</v>
      </c>
    </row>
    <row r="87" spans="1:14" x14ac:dyDescent="0.2">
      <c r="A87" s="2">
        <v>86</v>
      </c>
      <c r="B87" s="2">
        <v>55</v>
      </c>
      <c r="C87" s="2" t="s">
        <v>29</v>
      </c>
      <c r="D87" s="2" t="s">
        <v>15</v>
      </c>
      <c r="E87" s="2" t="s">
        <v>16</v>
      </c>
      <c r="F87" s="2" t="s">
        <v>17</v>
      </c>
      <c r="G87" s="2">
        <v>2</v>
      </c>
      <c r="H87" s="2" t="s">
        <v>18</v>
      </c>
      <c r="I87" s="2" t="s">
        <v>23</v>
      </c>
      <c r="J87" s="2">
        <v>3164.76</v>
      </c>
      <c r="K87" s="2">
        <v>791.19</v>
      </c>
      <c r="L87" s="2">
        <v>4</v>
      </c>
      <c r="M87" s="3">
        <v>45294</v>
      </c>
      <c r="N87" s="2">
        <v>0</v>
      </c>
    </row>
    <row r="88" spans="1:14" x14ac:dyDescent="0.2">
      <c r="A88" s="2">
        <v>87</v>
      </c>
      <c r="B88" s="2">
        <v>55</v>
      </c>
      <c r="C88" s="2" t="s">
        <v>29</v>
      </c>
      <c r="D88" s="2" t="s">
        <v>15</v>
      </c>
      <c r="E88" s="2" t="s">
        <v>20</v>
      </c>
      <c r="F88" s="2" t="s">
        <v>21</v>
      </c>
      <c r="G88" s="2">
        <v>3</v>
      </c>
      <c r="H88" s="2" t="s">
        <v>22</v>
      </c>
      <c r="I88" s="2" t="s">
        <v>19</v>
      </c>
      <c r="J88" s="2">
        <v>247.03</v>
      </c>
      <c r="K88" s="2">
        <v>247.03</v>
      </c>
      <c r="L88" s="2">
        <v>1</v>
      </c>
      <c r="M88" s="3">
        <v>45522</v>
      </c>
      <c r="N88" s="2">
        <v>16.649999999999999</v>
      </c>
    </row>
    <row r="89" spans="1:14" x14ac:dyDescent="0.2">
      <c r="A89" s="2">
        <v>88</v>
      </c>
      <c r="B89" s="2">
        <v>24</v>
      </c>
      <c r="C89" s="2" t="s">
        <v>14</v>
      </c>
      <c r="D89" s="2" t="s">
        <v>15</v>
      </c>
      <c r="E89" s="2" t="s">
        <v>30</v>
      </c>
      <c r="F89" s="2" t="s">
        <v>31</v>
      </c>
      <c r="G89" s="2">
        <v>3</v>
      </c>
      <c r="H89" s="2" t="s">
        <v>22</v>
      </c>
      <c r="I89" s="2" t="s">
        <v>19</v>
      </c>
      <c r="J89" s="2">
        <v>3379.32</v>
      </c>
      <c r="K89" s="2">
        <v>844.83</v>
      </c>
      <c r="L89" s="2">
        <v>4</v>
      </c>
      <c r="M89" s="3">
        <v>45502</v>
      </c>
      <c r="N89" s="2">
        <v>0</v>
      </c>
    </row>
    <row r="90" spans="1:14" x14ac:dyDescent="0.2">
      <c r="A90" s="2">
        <v>89</v>
      </c>
      <c r="B90" s="2">
        <v>74</v>
      </c>
      <c r="C90" s="2" t="s">
        <v>14</v>
      </c>
      <c r="D90" s="2" t="s">
        <v>15</v>
      </c>
      <c r="E90" s="2" t="s">
        <v>16</v>
      </c>
      <c r="F90" s="2" t="s">
        <v>28</v>
      </c>
      <c r="G90" s="2">
        <v>5</v>
      </c>
      <c r="H90" s="2" t="s">
        <v>22</v>
      </c>
      <c r="I90" s="2" t="s">
        <v>27</v>
      </c>
      <c r="J90" s="2">
        <v>20.75</v>
      </c>
      <c r="K90" s="2">
        <v>20.75</v>
      </c>
      <c r="L90" s="2">
        <v>1</v>
      </c>
      <c r="M90" s="3">
        <v>45210</v>
      </c>
      <c r="N90" s="2">
        <v>91.36</v>
      </c>
    </row>
    <row r="91" spans="1:14" x14ac:dyDescent="0.2">
      <c r="A91" s="2">
        <v>90</v>
      </c>
      <c r="B91" s="2">
        <v>74</v>
      </c>
      <c r="C91" s="2" t="s">
        <v>14</v>
      </c>
      <c r="D91" s="2" t="s">
        <v>15</v>
      </c>
      <c r="E91" s="2" t="s">
        <v>20</v>
      </c>
      <c r="F91" s="2" t="s">
        <v>21</v>
      </c>
      <c r="G91" s="2">
        <v>3</v>
      </c>
      <c r="H91" s="2" t="s">
        <v>22</v>
      </c>
      <c r="I91" s="2" t="s">
        <v>27</v>
      </c>
      <c r="J91" s="2">
        <v>741.09</v>
      </c>
      <c r="K91" s="2">
        <v>247.03</v>
      </c>
      <c r="L91" s="2">
        <v>3</v>
      </c>
      <c r="M91" s="3">
        <v>45414</v>
      </c>
      <c r="N91" s="2">
        <v>10.039999999999999</v>
      </c>
    </row>
    <row r="92" spans="1:14" x14ac:dyDescent="0.2">
      <c r="A92" s="2">
        <v>91</v>
      </c>
      <c r="B92" s="2">
        <v>76</v>
      </c>
      <c r="C92" s="2" t="s">
        <v>14</v>
      </c>
      <c r="D92" s="2" t="s">
        <v>15</v>
      </c>
      <c r="E92" s="2" t="s">
        <v>16</v>
      </c>
      <c r="F92" s="2" t="s">
        <v>28</v>
      </c>
      <c r="G92" s="2">
        <v>5</v>
      </c>
      <c r="H92" s="2" t="s">
        <v>22</v>
      </c>
      <c r="I92" s="2" t="s">
        <v>23</v>
      </c>
      <c r="J92" s="2">
        <v>166</v>
      </c>
      <c r="K92" s="2">
        <v>20.75</v>
      </c>
      <c r="L92" s="2">
        <v>8</v>
      </c>
      <c r="M92" s="3">
        <v>45474</v>
      </c>
      <c r="N92" s="2">
        <v>25.72</v>
      </c>
    </row>
    <row r="93" spans="1:14" x14ac:dyDescent="0.2">
      <c r="A93" s="2">
        <v>92</v>
      </c>
      <c r="B93" s="2">
        <v>45</v>
      </c>
      <c r="C93" s="2" t="s">
        <v>14</v>
      </c>
      <c r="D93" s="2" t="s">
        <v>15</v>
      </c>
      <c r="E93" s="2" t="s">
        <v>16</v>
      </c>
      <c r="F93" s="2" t="s">
        <v>17</v>
      </c>
      <c r="G93" s="2">
        <v>2</v>
      </c>
      <c r="H93" s="2" t="s">
        <v>22</v>
      </c>
      <c r="I93" s="2" t="s">
        <v>32</v>
      </c>
      <c r="J93" s="2">
        <v>3955.95</v>
      </c>
      <c r="K93" s="2">
        <v>791.19</v>
      </c>
      <c r="L93" s="2">
        <v>5</v>
      </c>
      <c r="M93" s="3">
        <v>45513</v>
      </c>
      <c r="N93" s="2">
        <v>0</v>
      </c>
    </row>
    <row r="94" spans="1:14" x14ac:dyDescent="0.2">
      <c r="A94" s="2">
        <v>93</v>
      </c>
      <c r="B94" s="2">
        <v>31</v>
      </c>
      <c r="C94" s="2" t="s">
        <v>14</v>
      </c>
      <c r="D94" s="2" t="s">
        <v>15</v>
      </c>
      <c r="E94" s="2" t="s">
        <v>20</v>
      </c>
      <c r="F94" s="2" t="s">
        <v>21</v>
      </c>
      <c r="G94" s="2">
        <v>3</v>
      </c>
      <c r="H94" s="2" t="s">
        <v>18</v>
      </c>
      <c r="I94" s="2" t="s">
        <v>32</v>
      </c>
      <c r="J94" s="2">
        <v>741.09</v>
      </c>
      <c r="K94" s="2">
        <v>247.03</v>
      </c>
      <c r="L94" s="2">
        <v>3</v>
      </c>
      <c r="M94" s="3">
        <v>45416</v>
      </c>
      <c r="N94" s="2">
        <v>22.88</v>
      </c>
    </row>
    <row r="95" spans="1:14" x14ac:dyDescent="0.2">
      <c r="A95" s="2">
        <v>94</v>
      </c>
      <c r="B95" s="2">
        <v>22</v>
      </c>
      <c r="C95" s="2" t="s">
        <v>14</v>
      </c>
      <c r="D95" s="2" t="s">
        <v>26</v>
      </c>
      <c r="E95" s="2" t="s">
        <v>30</v>
      </c>
      <c r="F95" s="2" t="s">
        <v>31</v>
      </c>
      <c r="G95" s="2">
        <v>3</v>
      </c>
      <c r="H95" s="2" t="s">
        <v>18</v>
      </c>
      <c r="I95" s="2" t="s">
        <v>19</v>
      </c>
      <c r="J95" s="2">
        <v>1689.66</v>
      </c>
      <c r="K95" s="2">
        <v>844.83</v>
      </c>
      <c r="L95" s="2">
        <v>2</v>
      </c>
      <c r="M95" s="3">
        <v>45373</v>
      </c>
      <c r="N95" s="2">
        <v>14.52</v>
      </c>
    </row>
    <row r="96" spans="1:14" x14ac:dyDescent="0.2">
      <c r="A96" s="2">
        <v>95</v>
      </c>
      <c r="B96" s="2">
        <v>56</v>
      </c>
      <c r="C96" s="2" t="s">
        <v>29</v>
      </c>
      <c r="D96" s="2" t="s">
        <v>15</v>
      </c>
      <c r="E96" s="2" t="s">
        <v>16</v>
      </c>
      <c r="F96" s="2" t="s">
        <v>17</v>
      </c>
      <c r="G96" s="2">
        <v>2</v>
      </c>
      <c r="H96" s="2" t="s">
        <v>22</v>
      </c>
      <c r="I96" s="2" t="s">
        <v>19</v>
      </c>
      <c r="J96" s="2">
        <v>7120.71</v>
      </c>
      <c r="K96" s="2">
        <v>791.19</v>
      </c>
      <c r="L96" s="2">
        <v>9</v>
      </c>
      <c r="M96" s="3">
        <v>45409</v>
      </c>
      <c r="N96" s="2">
        <v>29.11</v>
      </c>
    </row>
    <row r="97" spans="1:14" x14ac:dyDescent="0.2">
      <c r="A97" s="2">
        <v>96</v>
      </c>
      <c r="B97" s="2">
        <v>65</v>
      </c>
      <c r="C97" s="2" t="s">
        <v>14</v>
      </c>
      <c r="D97" s="2" t="s">
        <v>15</v>
      </c>
      <c r="E97" s="2" t="s">
        <v>16</v>
      </c>
      <c r="F97" s="2" t="s">
        <v>28</v>
      </c>
      <c r="G97" s="2">
        <v>5</v>
      </c>
      <c r="H97" s="2" t="s">
        <v>22</v>
      </c>
      <c r="I97" s="2" t="s">
        <v>32</v>
      </c>
      <c r="J97" s="2">
        <v>20.75</v>
      </c>
      <c r="K97" s="2">
        <v>20.75</v>
      </c>
      <c r="L97" s="2">
        <v>1</v>
      </c>
      <c r="M97" s="3">
        <v>45419</v>
      </c>
      <c r="N97" s="2">
        <v>0</v>
      </c>
    </row>
    <row r="98" spans="1:14" x14ac:dyDescent="0.2">
      <c r="A98" s="2">
        <v>97</v>
      </c>
      <c r="B98" s="2">
        <v>20</v>
      </c>
      <c r="C98" s="2" t="s">
        <v>29</v>
      </c>
      <c r="D98" s="2" t="s">
        <v>26</v>
      </c>
      <c r="E98" s="2" t="s">
        <v>16</v>
      </c>
      <c r="F98" s="2" t="s">
        <v>28</v>
      </c>
      <c r="G98" s="2">
        <v>5</v>
      </c>
      <c r="H98" s="2" t="s">
        <v>22</v>
      </c>
      <c r="I98" s="2" t="s">
        <v>23</v>
      </c>
      <c r="J98" s="2">
        <v>41.5</v>
      </c>
      <c r="K98" s="2">
        <v>20.75</v>
      </c>
      <c r="L98" s="2">
        <v>2</v>
      </c>
      <c r="M98" s="3">
        <v>45273</v>
      </c>
      <c r="N98" s="2">
        <v>27.89</v>
      </c>
    </row>
    <row r="99" spans="1:14" x14ac:dyDescent="0.2">
      <c r="A99" s="2">
        <v>98</v>
      </c>
      <c r="B99" s="2">
        <v>20</v>
      </c>
      <c r="C99" s="2" t="s">
        <v>29</v>
      </c>
      <c r="D99" s="2" t="s">
        <v>15</v>
      </c>
      <c r="E99" s="2" t="s">
        <v>24</v>
      </c>
      <c r="F99" s="2" t="s">
        <v>25</v>
      </c>
      <c r="G99" s="2">
        <v>3</v>
      </c>
      <c r="H99" s="2" t="s">
        <v>22</v>
      </c>
      <c r="I99" s="2" t="s">
        <v>27</v>
      </c>
      <c r="J99" s="2">
        <v>4639.6000000000004</v>
      </c>
      <c r="K99" s="2">
        <v>463.96</v>
      </c>
      <c r="L99" s="2">
        <v>10</v>
      </c>
      <c r="M99" s="3">
        <v>45427</v>
      </c>
      <c r="N99" s="2">
        <v>85.32</v>
      </c>
    </row>
    <row r="100" spans="1:14" x14ac:dyDescent="0.2">
      <c r="A100" s="2">
        <v>99</v>
      </c>
      <c r="B100" s="2">
        <v>19</v>
      </c>
      <c r="C100" s="2" t="s">
        <v>14</v>
      </c>
      <c r="D100" s="2" t="s">
        <v>15</v>
      </c>
      <c r="E100" s="2" t="s">
        <v>20</v>
      </c>
      <c r="F100" s="2" t="s">
        <v>21</v>
      </c>
      <c r="G100" s="2">
        <v>3</v>
      </c>
      <c r="H100" s="2" t="s">
        <v>22</v>
      </c>
      <c r="I100" s="2" t="s">
        <v>23</v>
      </c>
      <c r="J100" s="2">
        <v>988.12</v>
      </c>
      <c r="K100" s="2">
        <v>247.03</v>
      </c>
      <c r="L100" s="2">
        <v>4</v>
      </c>
      <c r="M100" s="3">
        <v>45376</v>
      </c>
      <c r="N100" s="2">
        <v>51.12</v>
      </c>
    </row>
    <row r="101" spans="1:14" x14ac:dyDescent="0.2">
      <c r="A101" s="2">
        <v>100</v>
      </c>
      <c r="B101" s="2">
        <v>68</v>
      </c>
      <c r="C101" s="2" t="s">
        <v>29</v>
      </c>
      <c r="D101" s="2" t="s">
        <v>15</v>
      </c>
      <c r="E101" s="2" t="s">
        <v>16</v>
      </c>
      <c r="F101" s="2" t="s">
        <v>17</v>
      </c>
      <c r="G101" s="2">
        <v>2</v>
      </c>
      <c r="H101" s="2" t="s">
        <v>18</v>
      </c>
      <c r="I101" s="2" t="s">
        <v>19</v>
      </c>
      <c r="J101" s="2">
        <v>1582.38</v>
      </c>
      <c r="K101" s="2">
        <v>791.19</v>
      </c>
      <c r="L101" s="2">
        <v>2</v>
      </c>
      <c r="M101" s="3">
        <v>45208</v>
      </c>
      <c r="N101" s="2">
        <v>100.12</v>
      </c>
    </row>
    <row r="102" spans="1:14" x14ac:dyDescent="0.2">
      <c r="A102" s="2">
        <v>101</v>
      </c>
      <c r="B102" s="2">
        <v>68</v>
      </c>
      <c r="C102" s="2" t="s">
        <v>29</v>
      </c>
      <c r="D102" s="2" t="s">
        <v>15</v>
      </c>
      <c r="E102" s="2" t="s">
        <v>24</v>
      </c>
      <c r="F102" s="2" t="s">
        <v>25</v>
      </c>
      <c r="G102" s="2">
        <v>3</v>
      </c>
      <c r="H102" s="2" t="s">
        <v>18</v>
      </c>
      <c r="I102" s="2" t="s">
        <v>23</v>
      </c>
      <c r="J102" s="2">
        <v>1391.88</v>
      </c>
      <c r="K102" s="2">
        <v>463.96</v>
      </c>
      <c r="L102" s="2">
        <v>3</v>
      </c>
      <c r="M102" s="3">
        <v>45443</v>
      </c>
      <c r="N102" s="2">
        <v>0</v>
      </c>
    </row>
    <row r="103" spans="1:14" x14ac:dyDescent="0.2">
      <c r="A103" s="2">
        <v>102</v>
      </c>
      <c r="B103" s="2">
        <v>63</v>
      </c>
      <c r="C103" s="2" t="s">
        <v>29</v>
      </c>
      <c r="D103" s="2" t="s">
        <v>26</v>
      </c>
      <c r="E103" s="2" t="s">
        <v>20</v>
      </c>
      <c r="F103" s="2" t="s">
        <v>21</v>
      </c>
      <c r="G103" s="2">
        <v>3</v>
      </c>
      <c r="H103" s="2" t="s">
        <v>22</v>
      </c>
      <c r="I103" s="2" t="s">
        <v>19</v>
      </c>
      <c r="J103" s="2">
        <v>741.09</v>
      </c>
      <c r="K103" s="2">
        <v>247.03</v>
      </c>
      <c r="L103" s="2">
        <v>3</v>
      </c>
      <c r="M103" s="3">
        <v>45351</v>
      </c>
      <c r="N103" s="2">
        <v>35.79</v>
      </c>
    </row>
    <row r="104" spans="1:14" x14ac:dyDescent="0.2">
      <c r="A104" s="2">
        <v>103</v>
      </c>
      <c r="B104" s="2">
        <v>63</v>
      </c>
      <c r="C104" s="2" t="s">
        <v>29</v>
      </c>
      <c r="D104" s="2" t="s">
        <v>26</v>
      </c>
      <c r="E104" s="2" t="s">
        <v>30</v>
      </c>
      <c r="F104" s="2" t="s">
        <v>31</v>
      </c>
      <c r="G104" s="2">
        <v>3</v>
      </c>
      <c r="H104" s="2" t="s">
        <v>22</v>
      </c>
      <c r="I104" s="2" t="s">
        <v>19</v>
      </c>
      <c r="J104" s="2">
        <v>3379.32</v>
      </c>
      <c r="K104" s="2">
        <v>844.83</v>
      </c>
      <c r="L104" s="2">
        <v>4</v>
      </c>
      <c r="M104" s="3">
        <v>45431</v>
      </c>
      <c r="N104" s="2">
        <v>48.78</v>
      </c>
    </row>
    <row r="105" spans="1:14" x14ac:dyDescent="0.2">
      <c r="A105" s="2">
        <v>104</v>
      </c>
      <c r="B105" s="2">
        <v>33</v>
      </c>
      <c r="C105" s="2" t="s">
        <v>29</v>
      </c>
      <c r="D105" s="2" t="s">
        <v>26</v>
      </c>
      <c r="E105" s="2" t="s">
        <v>16</v>
      </c>
      <c r="F105" s="2" t="s">
        <v>28</v>
      </c>
      <c r="G105" s="2">
        <v>5</v>
      </c>
      <c r="H105" s="2" t="s">
        <v>22</v>
      </c>
      <c r="I105" s="2" t="s">
        <v>27</v>
      </c>
      <c r="J105" s="2">
        <v>207.5</v>
      </c>
      <c r="K105" s="2">
        <v>20.75</v>
      </c>
      <c r="L105" s="2">
        <v>10</v>
      </c>
      <c r="M105" s="3">
        <v>45208</v>
      </c>
      <c r="N105" s="2">
        <v>88.38</v>
      </c>
    </row>
    <row r="106" spans="1:14" x14ac:dyDescent="0.2">
      <c r="A106" s="2">
        <v>105</v>
      </c>
      <c r="B106" s="2">
        <v>33</v>
      </c>
      <c r="C106" s="2" t="s">
        <v>29</v>
      </c>
      <c r="D106" s="2" t="s">
        <v>15</v>
      </c>
      <c r="E106" s="2" t="s">
        <v>16</v>
      </c>
      <c r="F106" s="2" t="s">
        <v>17</v>
      </c>
      <c r="G106" s="2">
        <v>2</v>
      </c>
      <c r="H106" s="2" t="s">
        <v>18</v>
      </c>
      <c r="I106" s="2" t="s">
        <v>19</v>
      </c>
      <c r="J106" s="2">
        <v>791.19</v>
      </c>
      <c r="K106" s="2">
        <v>791.19</v>
      </c>
      <c r="L106" s="2">
        <v>1</v>
      </c>
      <c r="M106" s="3">
        <v>45224</v>
      </c>
      <c r="N106" s="2">
        <v>32.35</v>
      </c>
    </row>
    <row r="107" spans="1:14" x14ac:dyDescent="0.2">
      <c r="A107" s="2">
        <v>106</v>
      </c>
      <c r="B107" s="2">
        <v>33</v>
      </c>
      <c r="C107" s="2" t="s">
        <v>29</v>
      </c>
      <c r="D107" s="2" t="s">
        <v>15</v>
      </c>
      <c r="E107" s="2" t="s">
        <v>16</v>
      </c>
      <c r="F107" s="2" t="s">
        <v>28</v>
      </c>
      <c r="G107" s="2">
        <v>5</v>
      </c>
      <c r="H107" s="2" t="s">
        <v>22</v>
      </c>
      <c r="I107" s="2" t="s">
        <v>27</v>
      </c>
      <c r="J107" s="2">
        <v>41.5</v>
      </c>
      <c r="K107" s="2">
        <v>20.75</v>
      </c>
      <c r="L107" s="2">
        <v>2</v>
      </c>
      <c r="M107" s="3">
        <v>45435</v>
      </c>
      <c r="N107" s="2">
        <v>125.35</v>
      </c>
    </row>
    <row r="108" spans="1:14" x14ac:dyDescent="0.2">
      <c r="A108" s="2">
        <v>107</v>
      </c>
      <c r="B108" s="2">
        <v>33</v>
      </c>
      <c r="C108" s="2" t="s">
        <v>29</v>
      </c>
      <c r="D108" s="2" t="s">
        <v>15</v>
      </c>
      <c r="E108" s="2" t="s">
        <v>16</v>
      </c>
      <c r="F108" s="2" t="s">
        <v>28</v>
      </c>
      <c r="G108" s="2">
        <v>5</v>
      </c>
      <c r="H108" s="2" t="s">
        <v>22</v>
      </c>
      <c r="I108" s="2" t="s">
        <v>23</v>
      </c>
      <c r="J108" s="2">
        <v>62.25</v>
      </c>
      <c r="K108" s="2">
        <v>20.75</v>
      </c>
      <c r="L108" s="2">
        <v>3</v>
      </c>
      <c r="M108" s="3">
        <v>45496</v>
      </c>
      <c r="N108" s="2">
        <v>77.61</v>
      </c>
    </row>
    <row r="109" spans="1:14" x14ac:dyDescent="0.2">
      <c r="A109" s="2">
        <v>108</v>
      </c>
      <c r="B109" s="2">
        <v>55</v>
      </c>
      <c r="C109" s="2" t="s">
        <v>14</v>
      </c>
      <c r="D109" s="2" t="s">
        <v>15</v>
      </c>
      <c r="E109" s="2" t="s">
        <v>16</v>
      </c>
      <c r="F109" s="2" t="s">
        <v>28</v>
      </c>
      <c r="G109" s="2">
        <v>5</v>
      </c>
      <c r="H109" s="2" t="s">
        <v>18</v>
      </c>
      <c r="I109" s="2" t="s">
        <v>23</v>
      </c>
      <c r="J109" s="2">
        <v>166</v>
      </c>
      <c r="K109" s="2">
        <v>20.75</v>
      </c>
      <c r="L109" s="2">
        <v>8</v>
      </c>
      <c r="M109" s="3">
        <v>45510</v>
      </c>
      <c r="N109" s="2">
        <v>0</v>
      </c>
    </row>
    <row r="110" spans="1:14" x14ac:dyDescent="0.2">
      <c r="A110" s="2">
        <v>109</v>
      </c>
      <c r="B110" s="2">
        <v>42</v>
      </c>
      <c r="C110" s="2" t="s">
        <v>29</v>
      </c>
      <c r="D110" s="2" t="s">
        <v>15</v>
      </c>
      <c r="E110" s="2" t="s">
        <v>20</v>
      </c>
      <c r="F110" s="2" t="s">
        <v>21</v>
      </c>
      <c r="G110" s="2">
        <v>3</v>
      </c>
      <c r="H110" s="2" t="s">
        <v>22</v>
      </c>
      <c r="I110" s="2" t="s">
        <v>32</v>
      </c>
      <c r="J110" s="2">
        <v>1482.18</v>
      </c>
      <c r="K110" s="2">
        <v>247.03</v>
      </c>
      <c r="L110" s="2">
        <v>6</v>
      </c>
      <c r="M110" s="3">
        <v>45555</v>
      </c>
      <c r="N110" s="2">
        <v>102</v>
      </c>
    </row>
    <row r="111" spans="1:14" x14ac:dyDescent="0.2">
      <c r="A111" s="2">
        <v>110</v>
      </c>
      <c r="B111" s="2">
        <v>37</v>
      </c>
      <c r="C111" s="2" t="s">
        <v>29</v>
      </c>
      <c r="D111" s="2" t="s">
        <v>15</v>
      </c>
      <c r="E111" s="2" t="s">
        <v>24</v>
      </c>
      <c r="F111" s="2" t="s">
        <v>25</v>
      </c>
      <c r="G111" s="2">
        <v>3</v>
      </c>
      <c r="H111" s="2" t="s">
        <v>18</v>
      </c>
      <c r="I111" s="2" t="s">
        <v>32</v>
      </c>
      <c r="J111" s="2">
        <v>1855.84</v>
      </c>
      <c r="K111" s="2">
        <v>463.96</v>
      </c>
      <c r="L111" s="2">
        <v>4</v>
      </c>
      <c r="M111" s="3">
        <v>45376</v>
      </c>
      <c r="N111" s="2">
        <v>104.93</v>
      </c>
    </row>
    <row r="112" spans="1:14" x14ac:dyDescent="0.2">
      <c r="A112" s="2">
        <v>111</v>
      </c>
      <c r="B112" s="2">
        <v>37</v>
      </c>
      <c r="C112" s="2" t="s">
        <v>29</v>
      </c>
      <c r="D112" s="2" t="s">
        <v>26</v>
      </c>
      <c r="E112" s="2" t="s">
        <v>16</v>
      </c>
      <c r="F112" s="2" t="s">
        <v>28</v>
      </c>
      <c r="G112" s="2">
        <v>5</v>
      </c>
      <c r="H112" s="2" t="s">
        <v>22</v>
      </c>
      <c r="I112" s="2" t="s">
        <v>32</v>
      </c>
      <c r="J112" s="2">
        <v>186.75</v>
      </c>
      <c r="K112" s="2">
        <v>20.75</v>
      </c>
      <c r="L112" s="2">
        <v>9</v>
      </c>
      <c r="M112" s="3">
        <v>45486</v>
      </c>
      <c r="N112" s="2">
        <v>42.66</v>
      </c>
    </row>
    <row r="113" spans="1:14" x14ac:dyDescent="0.2">
      <c r="A113" s="2">
        <v>112</v>
      </c>
      <c r="B113" s="2">
        <v>76</v>
      </c>
      <c r="C113" s="2" t="s">
        <v>14</v>
      </c>
      <c r="D113" s="2" t="s">
        <v>15</v>
      </c>
      <c r="E113" s="2" t="s">
        <v>16</v>
      </c>
      <c r="F113" s="2" t="s">
        <v>28</v>
      </c>
      <c r="G113" s="2">
        <v>5</v>
      </c>
      <c r="H113" s="2" t="s">
        <v>22</v>
      </c>
      <c r="I113" s="2" t="s">
        <v>19</v>
      </c>
      <c r="J113" s="2">
        <v>207.5</v>
      </c>
      <c r="K113" s="2">
        <v>20.75</v>
      </c>
      <c r="L113" s="2">
        <v>10</v>
      </c>
      <c r="M113" s="3">
        <v>45484</v>
      </c>
      <c r="N113" s="2">
        <v>0</v>
      </c>
    </row>
    <row r="114" spans="1:14" x14ac:dyDescent="0.2">
      <c r="A114" s="2">
        <v>113</v>
      </c>
      <c r="B114" s="2">
        <v>58</v>
      </c>
      <c r="C114" s="2" t="s">
        <v>29</v>
      </c>
      <c r="D114" s="2" t="s">
        <v>15</v>
      </c>
      <c r="E114" s="2" t="s">
        <v>20</v>
      </c>
      <c r="F114" s="2" t="s">
        <v>21</v>
      </c>
      <c r="G114" s="2">
        <v>3</v>
      </c>
      <c r="H114" s="2" t="s">
        <v>22</v>
      </c>
      <c r="I114" s="2" t="s">
        <v>23</v>
      </c>
      <c r="J114" s="2">
        <v>2223.27</v>
      </c>
      <c r="K114" s="2">
        <v>247.03</v>
      </c>
      <c r="L114" s="2">
        <v>9</v>
      </c>
      <c r="M114" s="3">
        <v>45337</v>
      </c>
      <c r="N114" s="2">
        <v>63.79</v>
      </c>
    </row>
    <row r="115" spans="1:14" x14ac:dyDescent="0.2">
      <c r="A115" s="2">
        <v>114</v>
      </c>
      <c r="B115" s="2">
        <v>58</v>
      </c>
      <c r="C115" s="2" t="s">
        <v>29</v>
      </c>
      <c r="D115" s="2" t="s">
        <v>15</v>
      </c>
      <c r="E115" s="2" t="s">
        <v>20</v>
      </c>
      <c r="F115" s="2" t="s">
        <v>21</v>
      </c>
      <c r="G115" s="2">
        <v>3</v>
      </c>
      <c r="H115" s="2" t="s">
        <v>22</v>
      </c>
      <c r="I115" s="2" t="s">
        <v>23</v>
      </c>
      <c r="J115" s="2">
        <v>2223.27</v>
      </c>
      <c r="K115" s="2">
        <v>247.03</v>
      </c>
      <c r="L115" s="2">
        <v>9</v>
      </c>
      <c r="M115" s="3">
        <v>45462</v>
      </c>
      <c r="N115" s="2">
        <v>48.57</v>
      </c>
    </row>
    <row r="116" spans="1:14" x14ac:dyDescent="0.2">
      <c r="A116" s="2">
        <v>115</v>
      </c>
      <c r="B116" s="2">
        <v>25</v>
      </c>
      <c r="C116" s="2" t="s">
        <v>29</v>
      </c>
      <c r="D116" s="2" t="s">
        <v>15</v>
      </c>
      <c r="E116" s="2" t="s">
        <v>16</v>
      </c>
      <c r="F116" s="2" t="s">
        <v>17</v>
      </c>
      <c r="G116" s="2">
        <v>2</v>
      </c>
      <c r="H116" s="2" t="s">
        <v>22</v>
      </c>
      <c r="I116" s="2" t="s">
        <v>23</v>
      </c>
      <c r="J116" s="2">
        <v>4747.1400000000003</v>
      </c>
      <c r="K116" s="2">
        <v>791.19</v>
      </c>
      <c r="L116" s="2">
        <v>6</v>
      </c>
      <c r="M116" s="3">
        <v>45322</v>
      </c>
      <c r="N116" s="2">
        <v>71.97</v>
      </c>
    </row>
    <row r="117" spans="1:14" x14ac:dyDescent="0.2">
      <c r="A117" s="2">
        <v>116</v>
      </c>
      <c r="B117" s="2">
        <v>31</v>
      </c>
      <c r="C117" s="2" t="s">
        <v>29</v>
      </c>
      <c r="D117" s="2" t="s">
        <v>15</v>
      </c>
      <c r="E117" s="2" t="s">
        <v>16</v>
      </c>
      <c r="F117" s="2" t="s">
        <v>17</v>
      </c>
      <c r="G117" s="2">
        <v>2</v>
      </c>
      <c r="H117" s="2" t="s">
        <v>18</v>
      </c>
      <c r="I117" s="2" t="s">
        <v>27</v>
      </c>
      <c r="J117" s="2">
        <v>791.19</v>
      </c>
      <c r="K117" s="2">
        <v>791.19</v>
      </c>
      <c r="L117" s="2">
        <v>1</v>
      </c>
      <c r="M117" s="3">
        <v>45290</v>
      </c>
      <c r="N117" s="2">
        <v>53.95</v>
      </c>
    </row>
    <row r="118" spans="1:14" x14ac:dyDescent="0.2">
      <c r="A118" s="2">
        <v>117</v>
      </c>
      <c r="B118" s="2">
        <v>31</v>
      </c>
      <c r="C118" s="2" t="s">
        <v>29</v>
      </c>
      <c r="D118" s="2" t="s">
        <v>26</v>
      </c>
      <c r="E118" s="2" t="s">
        <v>30</v>
      </c>
      <c r="F118" s="2" t="s">
        <v>31</v>
      </c>
      <c r="G118" s="2">
        <v>3</v>
      </c>
      <c r="H118" s="2" t="s">
        <v>22</v>
      </c>
      <c r="I118" s="2" t="s">
        <v>23</v>
      </c>
      <c r="J118" s="2">
        <v>844.83</v>
      </c>
      <c r="K118" s="2">
        <v>844.83</v>
      </c>
      <c r="L118" s="2">
        <v>1</v>
      </c>
      <c r="M118" s="3">
        <v>45447</v>
      </c>
      <c r="N118" s="2">
        <v>0</v>
      </c>
    </row>
    <row r="119" spans="1:14" x14ac:dyDescent="0.2">
      <c r="A119" s="2">
        <v>118</v>
      </c>
      <c r="B119" s="2">
        <v>31</v>
      </c>
      <c r="C119" s="2" t="s">
        <v>29</v>
      </c>
      <c r="D119" s="2" t="s">
        <v>15</v>
      </c>
      <c r="E119" s="2" t="s">
        <v>20</v>
      </c>
      <c r="F119" s="2" t="s">
        <v>21</v>
      </c>
      <c r="G119" s="2">
        <v>3</v>
      </c>
      <c r="H119" s="2" t="s">
        <v>22</v>
      </c>
      <c r="I119" s="2" t="s">
        <v>32</v>
      </c>
      <c r="J119" s="2">
        <v>247.03</v>
      </c>
      <c r="K119" s="2">
        <v>247.03</v>
      </c>
      <c r="L119" s="2">
        <v>1</v>
      </c>
      <c r="M119" s="3">
        <v>45545</v>
      </c>
      <c r="N119" s="2">
        <v>0</v>
      </c>
    </row>
    <row r="120" spans="1:14" x14ac:dyDescent="0.2">
      <c r="A120" s="2">
        <v>119</v>
      </c>
      <c r="B120" s="2">
        <v>55</v>
      </c>
      <c r="C120" s="2" t="s">
        <v>29</v>
      </c>
      <c r="D120" s="2" t="s">
        <v>15</v>
      </c>
      <c r="E120" s="2" t="s">
        <v>24</v>
      </c>
      <c r="F120" s="2" t="s">
        <v>25</v>
      </c>
      <c r="G120" s="2">
        <v>3</v>
      </c>
      <c r="H120" s="2" t="s">
        <v>18</v>
      </c>
      <c r="I120" s="2" t="s">
        <v>23</v>
      </c>
      <c r="J120" s="2">
        <v>4175.6400000000003</v>
      </c>
      <c r="K120" s="2">
        <v>463.96</v>
      </c>
      <c r="L120" s="2">
        <v>9</v>
      </c>
      <c r="M120" s="3">
        <v>45301</v>
      </c>
      <c r="N120" s="2">
        <v>15.85</v>
      </c>
    </row>
    <row r="121" spans="1:14" x14ac:dyDescent="0.2">
      <c r="A121" s="2">
        <v>120</v>
      </c>
      <c r="B121" s="2">
        <v>55</v>
      </c>
      <c r="C121" s="2" t="s">
        <v>29</v>
      </c>
      <c r="D121" s="2" t="s">
        <v>15</v>
      </c>
      <c r="E121" s="2" t="s">
        <v>24</v>
      </c>
      <c r="F121" s="2" t="s">
        <v>25</v>
      </c>
      <c r="G121" s="2">
        <v>3</v>
      </c>
      <c r="H121" s="2" t="s">
        <v>22</v>
      </c>
      <c r="I121" s="2" t="s">
        <v>27</v>
      </c>
      <c r="J121" s="2">
        <v>4175.6400000000003</v>
      </c>
      <c r="K121" s="2">
        <v>463.96</v>
      </c>
      <c r="L121" s="2">
        <v>9</v>
      </c>
      <c r="M121" s="3">
        <v>45432</v>
      </c>
      <c r="N121" s="2">
        <v>0</v>
      </c>
    </row>
    <row r="122" spans="1:14" x14ac:dyDescent="0.2">
      <c r="A122" s="2">
        <v>121</v>
      </c>
      <c r="B122" s="2">
        <v>34</v>
      </c>
      <c r="C122" s="2" t="s">
        <v>29</v>
      </c>
      <c r="D122" s="2" t="s">
        <v>15</v>
      </c>
      <c r="E122" s="2" t="s">
        <v>30</v>
      </c>
      <c r="F122" s="2" t="s">
        <v>31</v>
      </c>
      <c r="G122" s="2">
        <v>3</v>
      </c>
      <c r="H122" s="2" t="s">
        <v>22</v>
      </c>
      <c r="I122" s="2" t="s">
        <v>32</v>
      </c>
      <c r="J122" s="2">
        <v>1689.66</v>
      </c>
      <c r="K122" s="2">
        <v>844.83</v>
      </c>
      <c r="L122" s="2">
        <v>2</v>
      </c>
      <c r="M122" s="3">
        <v>45357</v>
      </c>
      <c r="N122" s="2">
        <v>48.25</v>
      </c>
    </row>
    <row r="123" spans="1:14" x14ac:dyDescent="0.2">
      <c r="A123" s="2">
        <v>123</v>
      </c>
      <c r="B123" s="2">
        <v>24</v>
      </c>
      <c r="C123" s="2" t="s">
        <v>14</v>
      </c>
      <c r="D123" s="2" t="s">
        <v>15</v>
      </c>
      <c r="E123" s="2" t="s">
        <v>20</v>
      </c>
      <c r="F123" s="2" t="s">
        <v>21</v>
      </c>
      <c r="G123" s="2">
        <v>3</v>
      </c>
      <c r="H123" s="2" t="s">
        <v>22</v>
      </c>
      <c r="I123" s="2" t="s">
        <v>19</v>
      </c>
      <c r="J123" s="2">
        <v>1482.18</v>
      </c>
      <c r="K123" s="2">
        <v>247.03</v>
      </c>
      <c r="L123" s="2">
        <v>6</v>
      </c>
      <c r="M123" s="3">
        <v>45303</v>
      </c>
      <c r="N123" s="2">
        <v>65.34</v>
      </c>
    </row>
    <row r="124" spans="1:14" x14ac:dyDescent="0.2">
      <c r="A124" s="2">
        <v>124</v>
      </c>
      <c r="B124" s="2">
        <v>40</v>
      </c>
      <c r="C124" s="2" t="s">
        <v>29</v>
      </c>
      <c r="D124" s="2" t="s">
        <v>26</v>
      </c>
      <c r="E124" s="2" t="s">
        <v>16</v>
      </c>
      <c r="F124" s="2" t="s">
        <v>28</v>
      </c>
      <c r="G124" s="2">
        <v>5</v>
      </c>
      <c r="H124" s="2" t="s">
        <v>22</v>
      </c>
      <c r="I124" s="2" t="s">
        <v>32</v>
      </c>
      <c r="J124" s="2">
        <v>186.75</v>
      </c>
      <c r="K124" s="2">
        <v>20.75</v>
      </c>
      <c r="L124" s="2">
        <v>9</v>
      </c>
      <c r="M124" s="3">
        <v>45273</v>
      </c>
      <c r="N124" s="2">
        <v>48.52</v>
      </c>
    </row>
    <row r="125" spans="1:14" x14ac:dyDescent="0.2">
      <c r="A125" s="2">
        <v>125</v>
      </c>
      <c r="B125" s="2">
        <v>40</v>
      </c>
      <c r="C125" s="2" t="s">
        <v>29</v>
      </c>
      <c r="D125" s="2" t="s">
        <v>15</v>
      </c>
      <c r="E125" s="2" t="s">
        <v>16</v>
      </c>
      <c r="F125" s="2" t="s">
        <v>28</v>
      </c>
      <c r="G125" s="2">
        <v>5</v>
      </c>
      <c r="H125" s="2" t="s">
        <v>18</v>
      </c>
      <c r="I125" s="2" t="s">
        <v>19</v>
      </c>
      <c r="J125" s="2">
        <v>103.75</v>
      </c>
      <c r="K125" s="2">
        <v>20.75</v>
      </c>
      <c r="L125" s="2">
        <v>5</v>
      </c>
      <c r="M125" s="3">
        <v>45347</v>
      </c>
      <c r="N125" s="2">
        <v>0</v>
      </c>
    </row>
    <row r="126" spans="1:14" x14ac:dyDescent="0.2">
      <c r="A126" s="2">
        <v>126</v>
      </c>
      <c r="B126" s="2">
        <v>69</v>
      </c>
      <c r="C126" s="2" t="s">
        <v>14</v>
      </c>
      <c r="D126" s="2" t="s">
        <v>26</v>
      </c>
      <c r="E126" s="2" t="s">
        <v>16</v>
      </c>
      <c r="F126" s="2" t="s">
        <v>17</v>
      </c>
      <c r="G126" s="2">
        <v>2</v>
      </c>
      <c r="H126" s="2" t="s">
        <v>18</v>
      </c>
      <c r="I126" s="2" t="s">
        <v>23</v>
      </c>
      <c r="J126" s="2">
        <v>5538.33</v>
      </c>
      <c r="K126" s="2">
        <v>791.19</v>
      </c>
      <c r="L126" s="2">
        <v>7</v>
      </c>
      <c r="M126" s="3">
        <v>45550</v>
      </c>
      <c r="N126" s="2">
        <v>0</v>
      </c>
    </row>
    <row r="127" spans="1:14" x14ac:dyDescent="0.2">
      <c r="A127" s="2">
        <v>127</v>
      </c>
      <c r="B127" s="2">
        <v>79</v>
      </c>
      <c r="C127" s="2" t="s">
        <v>14</v>
      </c>
      <c r="D127" s="2" t="s">
        <v>26</v>
      </c>
      <c r="E127" s="2" t="s">
        <v>30</v>
      </c>
      <c r="F127" s="2" t="s">
        <v>31</v>
      </c>
      <c r="G127" s="2">
        <v>3</v>
      </c>
      <c r="H127" s="2" t="s">
        <v>18</v>
      </c>
      <c r="I127" s="2" t="s">
        <v>19</v>
      </c>
      <c r="J127" s="2">
        <v>6758.64</v>
      </c>
      <c r="K127" s="2">
        <v>844.83</v>
      </c>
      <c r="L127" s="2">
        <v>8</v>
      </c>
      <c r="M127" s="3">
        <v>45391</v>
      </c>
      <c r="N127" s="2">
        <v>54.15</v>
      </c>
    </row>
    <row r="128" spans="1:14" x14ac:dyDescent="0.2">
      <c r="A128" s="2">
        <v>128</v>
      </c>
      <c r="B128" s="2">
        <v>79</v>
      </c>
      <c r="C128" s="2" t="s">
        <v>14</v>
      </c>
      <c r="D128" s="2" t="s">
        <v>26</v>
      </c>
      <c r="E128" s="2" t="s">
        <v>16</v>
      </c>
      <c r="F128" s="2" t="s">
        <v>17</v>
      </c>
      <c r="G128" s="2">
        <v>2</v>
      </c>
      <c r="H128" s="2" t="s">
        <v>22</v>
      </c>
      <c r="I128" s="2" t="s">
        <v>32</v>
      </c>
      <c r="J128" s="2">
        <v>791.19</v>
      </c>
      <c r="K128" s="2">
        <v>791.19</v>
      </c>
      <c r="L128" s="2">
        <v>1</v>
      </c>
      <c r="M128" s="3">
        <v>45516</v>
      </c>
      <c r="N128" s="2">
        <v>5.86</v>
      </c>
    </row>
    <row r="129" spans="1:14" x14ac:dyDescent="0.2">
      <c r="A129" s="2">
        <v>129</v>
      </c>
      <c r="B129" s="2">
        <v>24</v>
      </c>
      <c r="C129" s="2" t="s">
        <v>29</v>
      </c>
      <c r="D129" s="2" t="s">
        <v>15</v>
      </c>
      <c r="E129" s="2" t="s">
        <v>24</v>
      </c>
      <c r="F129" s="2" t="s">
        <v>25</v>
      </c>
      <c r="G129" s="2">
        <v>3</v>
      </c>
      <c r="H129" s="2" t="s">
        <v>22</v>
      </c>
      <c r="I129" s="2" t="s">
        <v>19</v>
      </c>
      <c r="J129" s="2">
        <v>1855.84</v>
      </c>
      <c r="K129" s="2">
        <v>463.96</v>
      </c>
      <c r="L129" s="2">
        <v>4</v>
      </c>
      <c r="M129" s="3">
        <v>45334</v>
      </c>
      <c r="N129" s="2">
        <v>0</v>
      </c>
    </row>
    <row r="130" spans="1:14" x14ac:dyDescent="0.2">
      <c r="A130" s="2">
        <v>130</v>
      </c>
      <c r="B130" s="2">
        <v>24</v>
      </c>
      <c r="C130" s="2" t="s">
        <v>29</v>
      </c>
      <c r="D130" s="2" t="s">
        <v>26</v>
      </c>
      <c r="E130" s="2" t="s">
        <v>24</v>
      </c>
      <c r="F130" s="2" t="s">
        <v>25</v>
      </c>
      <c r="G130" s="2">
        <v>3</v>
      </c>
      <c r="H130" s="2" t="s">
        <v>22</v>
      </c>
      <c r="I130" s="2" t="s">
        <v>32</v>
      </c>
      <c r="J130" s="2">
        <v>3711.68</v>
      </c>
      <c r="K130" s="2">
        <v>463.96</v>
      </c>
      <c r="L130" s="2">
        <v>8</v>
      </c>
      <c r="M130" s="3">
        <v>45348</v>
      </c>
      <c r="N130" s="2">
        <v>85.04</v>
      </c>
    </row>
    <row r="131" spans="1:14" x14ac:dyDescent="0.2">
      <c r="A131" s="2">
        <v>131</v>
      </c>
      <c r="B131" s="2">
        <v>24</v>
      </c>
      <c r="C131" s="2" t="s">
        <v>29</v>
      </c>
      <c r="D131" s="2" t="s">
        <v>15</v>
      </c>
      <c r="E131" s="2" t="s">
        <v>16</v>
      </c>
      <c r="F131" s="2" t="s">
        <v>17</v>
      </c>
      <c r="G131" s="2">
        <v>2</v>
      </c>
      <c r="H131" s="2" t="s">
        <v>22</v>
      </c>
      <c r="I131" s="2" t="s">
        <v>23</v>
      </c>
      <c r="J131" s="2">
        <v>3164.76</v>
      </c>
      <c r="K131" s="2">
        <v>791.19</v>
      </c>
      <c r="L131" s="2">
        <v>4</v>
      </c>
      <c r="M131" s="3">
        <v>45540</v>
      </c>
      <c r="N131" s="2">
        <v>104.82</v>
      </c>
    </row>
    <row r="132" spans="1:14" x14ac:dyDescent="0.2">
      <c r="A132" s="2">
        <v>132</v>
      </c>
      <c r="B132" s="2">
        <v>46</v>
      </c>
      <c r="C132" s="2" t="s">
        <v>14</v>
      </c>
      <c r="D132" s="2" t="s">
        <v>15</v>
      </c>
      <c r="E132" s="2" t="s">
        <v>30</v>
      </c>
      <c r="F132" s="2" t="s">
        <v>31</v>
      </c>
      <c r="G132" s="2">
        <v>3</v>
      </c>
      <c r="H132" s="2" t="s">
        <v>22</v>
      </c>
      <c r="I132" s="2" t="s">
        <v>32</v>
      </c>
      <c r="J132" s="2">
        <v>5913.81</v>
      </c>
      <c r="K132" s="2">
        <v>844.83</v>
      </c>
      <c r="L132" s="2">
        <v>7</v>
      </c>
      <c r="M132" s="3">
        <v>45299</v>
      </c>
      <c r="N132" s="2">
        <v>0</v>
      </c>
    </row>
    <row r="133" spans="1:14" x14ac:dyDescent="0.2">
      <c r="A133" s="2">
        <v>133</v>
      </c>
      <c r="B133" s="2">
        <v>46</v>
      </c>
      <c r="C133" s="2" t="s">
        <v>14</v>
      </c>
      <c r="D133" s="2" t="s">
        <v>15</v>
      </c>
      <c r="E133" s="2" t="s">
        <v>24</v>
      </c>
      <c r="F133" s="2" t="s">
        <v>25</v>
      </c>
      <c r="G133" s="2">
        <v>3</v>
      </c>
      <c r="H133" s="2" t="s">
        <v>22</v>
      </c>
      <c r="I133" s="2" t="s">
        <v>27</v>
      </c>
      <c r="J133" s="2">
        <v>3711.68</v>
      </c>
      <c r="K133" s="2">
        <v>463.96</v>
      </c>
      <c r="L133" s="2">
        <v>8</v>
      </c>
      <c r="M133" s="3">
        <v>45528</v>
      </c>
      <c r="N133" s="2">
        <v>67.209999999999994</v>
      </c>
    </row>
    <row r="134" spans="1:14" x14ac:dyDescent="0.2">
      <c r="A134" s="2">
        <v>134</v>
      </c>
      <c r="B134" s="2">
        <v>80</v>
      </c>
      <c r="C134" s="2" t="s">
        <v>14</v>
      </c>
      <c r="D134" s="2" t="s">
        <v>15</v>
      </c>
      <c r="E134" s="2" t="s">
        <v>30</v>
      </c>
      <c r="F134" s="2" t="s">
        <v>31</v>
      </c>
      <c r="G134" s="2">
        <v>3</v>
      </c>
      <c r="H134" s="2" t="s">
        <v>22</v>
      </c>
      <c r="I134" s="2" t="s">
        <v>23</v>
      </c>
      <c r="J134" s="2">
        <v>6758.64</v>
      </c>
      <c r="K134" s="2">
        <v>844.83</v>
      </c>
      <c r="L134" s="2">
        <v>8</v>
      </c>
      <c r="M134" s="3">
        <v>45266</v>
      </c>
      <c r="N134" s="2">
        <v>65.02</v>
      </c>
    </row>
    <row r="135" spans="1:14" x14ac:dyDescent="0.2">
      <c r="A135" s="2">
        <v>135</v>
      </c>
      <c r="B135" s="2">
        <v>80</v>
      </c>
      <c r="C135" s="2" t="s">
        <v>14</v>
      </c>
      <c r="D135" s="2" t="s">
        <v>15</v>
      </c>
      <c r="E135" s="2" t="s">
        <v>16</v>
      </c>
      <c r="F135" s="2" t="s">
        <v>28</v>
      </c>
      <c r="G135" s="2">
        <v>5</v>
      </c>
      <c r="H135" s="2" t="s">
        <v>18</v>
      </c>
      <c r="I135" s="2" t="s">
        <v>23</v>
      </c>
      <c r="J135" s="2">
        <v>166</v>
      </c>
      <c r="K135" s="2">
        <v>20.75</v>
      </c>
      <c r="L135" s="2">
        <v>8</v>
      </c>
      <c r="M135" s="3">
        <v>45373</v>
      </c>
      <c r="N135" s="2">
        <v>63.03</v>
      </c>
    </row>
    <row r="136" spans="1:14" x14ac:dyDescent="0.2">
      <c r="A136" s="2">
        <v>136</v>
      </c>
      <c r="B136" s="2">
        <v>36</v>
      </c>
      <c r="C136" s="2" t="s">
        <v>29</v>
      </c>
      <c r="D136" s="2" t="s">
        <v>26</v>
      </c>
      <c r="E136" s="2" t="s">
        <v>16</v>
      </c>
      <c r="F136" s="2" t="s">
        <v>28</v>
      </c>
      <c r="G136" s="2">
        <v>5</v>
      </c>
      <c r="H136" s="2" t="s">
        <v>18</v>
      </c>
      <c r="I136" s="2" t="s">
        <v>27</v>
      </c>
      <c r="J136" s="2">
        <v>20.75</v>
      </c>
      <c r="K136" s="2">
        <v>20.75</v>
      </c>
      <c r="L136" s="2">
        <v>1</v>
      </c>
      <c r="M136" s="3">
        <v>45269</v>
      </c>
      <c r="N136" s="2">
        <v>0</v>
      </c>
    </row>
    <row r="137" spans="1:14" x14ac:dyDescent="0.2">
      <c r="A137" s="2">
        <v>137</v>
      </c>
      <c r="B137" s="2">
        <v>75</v>
      </c>
      <c r="C137" s="2" t="s">
        <v>29</v>
      </c>
      <c r="D137" s="2" t="s">
        <v>26</v>
      </c>
      <c r="E137" s="2" t="s">
        <v>16</v>
      </c>
      <c r="F137" s="2" t="s">
        <v>17</v>
      </c>
      <c r="G137" s="2">
        <v>2</v>
      </c>
      <c r="H137" s="2" t="s">
        <v>22</v>
      </c>
      <c r="I137" s="2" t="s">
        <v>32</v>
      </c>
      <c r="J137" s="2">
        <v>4747.1400000000003</v>
      </c>
      <c r="K137" s="2">
        <v>791.19</v>
      </c>
      <c r="L137" s="2">
        <v>6</v>
      </c>
      <c r="M137" s="3">
        <v>45234</v>
      </c>
      <c r="N137" s="2">
        <v>46.92</v>
      </c>
    </row>
    <row r="138" spans="1:14" x14ac:dyDescent="0.2">
      <c r="A138" s="2">
        <v>138</v>
      </c>
      <c r="B138" s="2">
        <v>18</v>
      </c>
      <c r="C138" s="2" t="s">
        <v>29</v>
      </c>
      <c r="D138" s="2" t="s">
        <v>26</v>
      </c>
      <c r="E138" s="2" t="s">
        <v>16</v>
      </c>
      <c r="F138" s="2" t="s">
        <v>28</v>
      </c>
      <c r="G138" s="2">
        <v>5</v>
      </c>
      <c r="H138" s="2" t="s">
        <v>22</v>
      </c>
      <c r="I138" s="2" t="s">
        <v>27</v>
      </c>
      <c r="J138" s="2">
        <v>124.5</v>
      </c>
      <c r="K138" s="2">
        <v>20.75</v>
      </c>
      <c r="L138" s="2">
        <v>6</v>
      </c>
      <c r="M138" s="3">
        <v>45414</v>
      </c>
      <c r="N138" s="2">
        <v>48.93</v>
      </c>
    </row>
    <row r="139" spans="1:14" x14ac:dyDescent="0.2">
      <c r="A139" s="2">
        <v>139</v>
      </c>
      <c r="B139" s="2">
        <v>25</v>
      </c>
      <c r="C139" s="2" t="s">
        <v>14</v>
      </c>
      <c r="D139" s="2" t="s">
        <v>15</v>
      </c>
      <c r="E139" s="2" t="s">
        <v>24</v>
      </c>
      <c r="F139" s="2" t="s">
        <v>25</v>
      </c>
      <c r="G139" s="2">
        <v>3</v>
      </c>
      <c r="H139" s="2" t="s">
        <v>22</v>
      </c>
      <c r="I139" s="2" t="s">
        <v>27</v>
      </c>
      <c r="J139" s="2">
        <v>1391.88</v>
      </c>
      <c r="K139" s="2">
        <v>463.96</v>
      </c>
      <c r="L139" s="2">
        <v>3</v>
      </c>
      <c r="M139" s="3">
        <v>45378</v>
      </c>
      <c r="N139" s="2">
        <v>39.14</v>
      </c>
    </row>
    <row r="140" spans="1:14" x14ac:dyDescent="0.2">
      <c r="A140" s="2">
        <v>140</v>
      </c>
      <c r="B140" s="2">
        <v>25</v>
      </c>
      <c r="C140" s="2" t="s">
        <v>14</v>
      </c>
      <c r="D140" s="2" t="s">
        <v>26</v>
      </c>
      <c r="E140" s="2" t="s">
        <v>30</v>
      </c>
      <c r="F140" s="2" t="s">
        <v>31</v>
      </c>
      <c r="G140" s="2">
        <v>3</v>
      </c>
      <c r="H140" s="2" t="s">
        <v>22</v>
      </c>
      <c r="I140" s="2" t="s">
        <v>32</v>
      </c>
      <c r="J140" s="2">
        <v>6758.64</v>
      </c>
      <c r="K140" s="2">
        <v>844.83</v>
      </c>
      <c r="L140" s="2">
        <v>8</v>
      </c>
      <c r="M140" s="3">
        <v>45479</v>
      </c>
      <c r="N140" s="2">
        <v>81.34</v>
      </c>
    </row>
    <row r="141" spans="1:14" x14ac:dyDescent="0.2">
      <c r="A141" s="2">
        <v>141</v>
      </c>
      <c r="B141" s="2">
        <v>23</v>
      </c>
      <c r="C141" s="2" t="s">
        <v>14</v>
      </c>
      <c r="D141" s="2" t="s">
        <v>26</v>
      </c>
      <c r="E141" s="2" t="s">
        <v>16</v>
      </c>
      <c r="F141" s="2" t="s">
        <v>17</v>
      </c>
      <c r="G141" s="2">
        <v>2</v>
      </c>
      <c r="H141" s="2" t="s">
        <v>22</v>
      </c>
      <c r="I141" s="2" t="s">
        <v>23</v>
      </c>
      <c r="J141" s="2">
        <v>6329.52</v>
      </c>
      <c r="K141" s="2">
        <v>791.19</v>
      </c>
      <c r="L141" s="2">
        <v>8</v>
      </c>
      <c r="M141" s="3">
        <v>45261</v>
      </c>
      <c r="N141" s="2">
        <v>68.66</v>
      </c>
    </row>
    <row r="142" spans="1:14" x14ac:dyDescent="0.2">
      <c r="A142" s="2">
        <v>142</v>
      </c>
      <c r="B142" s="2">
        <v>23</v>
      </c>
      <c r="C142" s="2" t="s">
        <v>14</v>
      </c>
      <c r="D142" s="2" t="s">
        <v>15</v>
      </c>
      <c r="E142" s="2" t="s">
        <v>24</v>
      </c>
      <c r="F142" s="2" t="s">
        <v>25</v>
      </c>
      <c r="G142" s="2">
        <v>3</v>
      </c>
      <c r="H142" s="2" t="s">
        <v>22</v>
      </c>
      <c r="I142" s="2" t="s">
        <v>32</v>
      </c>
      <c r="J142" s="2">
        <v>927.92</v>
      </c>
      <c r="K142" s="2">
        <v>463.96</v>
      </c>
      <c r="L142" s="2">
        <v>2</v>
      </c>
      <c r="M142" s="3">
        <v>45282</v>
      </c>
      <c r="N142" s="2">
        <v>43.76</v>
      </c>
    </row>
    <row r="143" spans="1:14" x14ac:dyDescent="0.2">
      <c r="A143" s="2">
        <v>143</v>
      </c>
      <c r="B143" s="2">
        <v>23</v>
      </c>
      <c r="C143" s="2" t="s">
        <v>14</v>
      </c>
      <c r="D143" s="2" t="s">
        <v>15</v>
      </c>
      <c r="E143" s="2" t="s">
        <v>24</v>
      </c>
      <c r="F143" s="2" t="s">
        <v>25</v>
      </c>
      <c r="G143" s="2">
        <v>3</v>
      </c>
      <c r="H143" s="2" t="s">
        <v>18</v>
      </c>
      <c r="I143" s="2" t="s">
        <v>32</v>
      </c>
      <c r="J143" s="2">
        <v>3711.68</v>
      </c>
      <c r="K143" s="2">
        <v>463.96</v>
      </c>
      <c r="L143" s="2">
        <v>8</v>
      </c>
      <c r="M143" s="3">
        <v>45453</v>
      </c>
      <c r="N143" s="2">
        <v>102.64</v>
      </c>
    </row>
    <row r="144" spans="1:14" x14ac:dyDescent="0.2">
      <c r="A144" s="2">
        <v>144</v>
      </c>
      <c r="B144" s="2">
        <v>23</v>
      </c>
      <c r="C144" s="2" t="s">
        <v>14</v>
      </c>
      <c r="D144" s="2" t="s">
        <v>15</v>
      </c>
      <c r="E144" s="2" t="s">
        <v>16</v>
      </c>
      <c r="F144" s="2" t="s">
        <v>17</v>
      </c>
      <c r="G144" s="2">
        <v>2</v>
      </c>
      <c r="H144" s="2" t="s">
        <v>22</v>
      </c>
      <c r="I144" s="2" t="s">
        <v>23</v>
      </c>
      <c r="J144" s="2">
        <v>7120.71</v>
      </c>
      <c r="K144" s="2">
        <v>791.19</v>
      </c>
      <c r="L144" s="2">
        <v>9</v>
      </c>
      <c r="M144" s="3">
        <v>45495</v>
      </c>
      <c r="N144" s="2">
        <v>0</v>
      </c>
    </row>
    <row r="145" spans="1:14" x14ac:dyDescent="0.2">
      <c r="A145" s="2">
        <v>145</v>
      </c>
      <c r="B145" s="2">
        <v>20</v>
      </c>
      <c r="C145" s="2" t="s">
        <v>29</v>
      </c>
      <c r="D145" s="2" t="s">
        <v>15</v>
      </c>
      <c r="E145" s="2" t="s">
        <v>30</v>
      </c>
      <c r="F145" s="2" t="s">
        <v>31</v>
      </c>
      <c r="G145" s="2">
        <v>3</v>
      </c>
      <c r="H145" s="2" t="s">
        <v>22</v>
      </c>
      <c r="I145" s="2" t="s">
        <v>19</v>
      </c>
      <c r="J145" s="2">
        <v>844.83</v>
      </c>
      <c r="K145" s="2">
        <v>844.83</v>
      </c>
      <c r="L145" s="2">
        <v>1</v>
      </c>
      <c r="M145" s="3">
        <v>45274</v>
      </c>
      <c r="N145" s="2">
        <v>41.06</v>
      </c>
    </row>
    <row r="146" spans="1:14" x14ac:dyDescent="0.2">
      <c r="A146" s="2">
        <v>146</v>
      </c>
      <c r="B146" s="2">
        <v>56</v>
      </c>
      <c r="C146" s="2" t="s">
        <v>29</v>
      </c>
      <c r="D146" s="2" t="s">
        <v>15</v>
      </c>
      <c r="E146" s="2" t="s">
        <v>16</v>
      </c>
      <c r="F146" s="2" t="s">
        <v>17</v>
      </c>
      <c r="G146" s="2">
        <v>2</v>
      </c>
      <c r="H146" s="2" t="s">
        <v>18</v>
      </c>
      <c r="I146" s="2" t="s">
        <v>32</v>
      </c>
      <c r="J146" s="2">
        <v>6329.52</v>
      </c>
      <c r="K146" s="2">
        <v>791.19</v>
      </c>
      <c r="L146" s="2">
        <v>8</v>
      </c>
      <c r="M146" s="3">
        <v>45556</v>
      </c>
      <c r="N146" s="2">
        <v>46.71</v>
      </c>
    </row>
    <row r="147" spans="1:14" x14ac:dyDescent="0.2">
      <c r="A147" s="2">
        <v>147</v>
      </c>
      <c r="B147" s="2">
        <v>61</v>
      </c>
      <c r="C147" s="2" t="s">
        <v>14</v>
      </c>
      <c r="D147" s="2" t="s">
        <v>15</v>
      </c>
      <c r="E147" s="2" t="s">
        <v>16</v>
      </c>
      <c r="F147" s="2" t="s">
        <v>28</v>
      </c>
      <c r="G147" s="2">
        <v>5</v>
      </c>
      <c r="H147" s="2" t="s">
        <v>22</v>
      </c>
      <c r="I147" s="2" t="s">
        <v>23</v>
      </c>
      <c r="J147" s="2">
        <v>20.75</v>
      </c>
      <c r="K147" s="2">
        <v>20.75</v>
      </c>
      <c r="L147" s="2">
        <v>1</v>
      </c>
      <c r="M147" s="3">
        <v>45262</v>
      </c>
      <c r="N147" s="2">
        <v>11.92</v>
      </c>
    </row>
    <row r="148" spans="1:14" x14ac:dyDescent="0.2">
      <c r="A148" s="2">
        <v>148</v>
      </c>
      <c r="B148" s="2">
        <v>61</v>
      </c>
      <c r="C148" s="2" t="s">
        <v>14</v>
      </c>
      <c r="D148" s="2" t="s">
        <v>15</v>
      </c>
      <c r="E148" s="2" t="s">
        <v>24</v>
      </c>
      <c r="F148" s="2" t="s">
        <v>25</v>
      </c>
      <c r="G148" s="2">
        <v>3</v>
      </c>
      <c r="H148" s="2" t="s">
        <v>22</v>
      </c>
      <c r="I148" s="2" t="s">
        <v>19</v>
      </c>
      <c r="J148" s="2">
        <v>1391.88</v>
      </c>
      <c r="K148" s="2">
        <v>463.96</v>
      </c>
      <c r="L148" s="2">
        <v>3</v>
      </c>
      <c r="M148" s="3">
        <v>45290</v>
      </c>
      <c r="N148" s="2">
        <v>42.12</v>
      </c>
    </row>
    <row r="149" spans="1:14" x14ac:dyDescent="0.2">
      <c r="A149" s="2">
        <v>149</v>
      </c>
      <c r="B149" s="2">
        <v>61</v>
      </c>
      <c r="C149" s="2" t="s">
        <v>14</v>
      </c>
      <c r="D149" s="2" t="s">
        <v>15</v>
      </c>
      <c r="E149" s="2" t="s">
        <v>24</v>
      </c>
      <c r="F149" s="2" t="s">
        <v>25</v>
      </c>
      <c r="G149" s="2">
        <v>3</v>
      </c>
      <c r="H149" s="2" t="s">
        <v>22</v>
      </c>
      <c r="I149" s="2" t="s">
        <v>32</v>
      </c>
      <c r="J149" s="2">
        <v>3711.68</v>
      </c>
      <c r="K149" s="2">
        <v>463.96</v>
      </c>
      <c r="L149" s="2">
        <v>8</v>
      </c>
      <c r="M149" s="3">
        <v>45396</v>
      </c>
      <c r="N149" s="2">
        <v>60.23</v>
      </c>
    </row>
    <row r="150" spans="1:14" x14ac:dyDescent="0.2">
      <c r="A150" s="2">
        <v>150</v>
      </c>
      <c r="B150" s="2">
        <v>63</v>
      </c>
      <c r="C150" s="2" t="s">
        <v>29</v>
      </c>
      <c r="D150" s="2" t="s">
        <v>15</v>
      </c>
      <c r="E150" s="2" t="s">
        <v>24</v>
      </c>
      <c r="F150" s="2" t="s">
        <v>25</v>
      </c>
      <c r="G150" s="2">
        <v>3</v>
      </c>
      <c r="H150" s="2" t="s">
        <v>22</v>
      </c>
      <c r="I150" s="2" t="s">
        <v>27</v>
      </c>
      <c r="J150" s="2">
        <v>4175.6400000000003</v>
      </c>
      <c r="K150" s="2">
        <v>463.96</v>
      </c>
      <c r="L150" s="2">
        <v>9</v>
      </c>
      <c r="M150" s="3">
        <v>45225</v>
      </c>
      <c r="N150" s="2">
        <v>33.15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99C16-96C1-B74B-A627-E6A0F67B7669}">
  <dimension ref="A1:F150"/>
  <sheetViews>
    <sheetView zoomScale="114" zoomScaleNormal="114" workbookViewId="0">
      <selection activeCell="H9" sqref="H9"/>
    </sheetView>
  </sheetViews>
  <sheetFormatPr baseColWidth="10" defaultRowHeight="16" x14ac:dyDescent="0.2"/>
  <cols>
    <col min="1" max="1" width="14.5" style="21" customWidth="1"/>
    <col min="2" max="2" width="14.1640625" style="1" bestFit="1" customWidth="1"/>
    <col min="3" max="3" width="10.1640625" style="1" bestFit="1" customWidth="1"/>
    <col min="4" max="4" width="16.83203125" style="1" customWidth="1"/>
    <col min="5" max="5" width="11.5" style="1" bestFit="1" customWidth="1"/>
    <col min="6" max="6" width="9.83203125" style="1" customWidth="1"/>
  </cols>
  <sheetData>
    <row r="1" spans="1:6" x14ac:dyDescent="0.2">
      <c r="A1" s="20" t="s">
        <v>1</v>
      </c>
      <c r="B1" s="22" t="s">
        <v>3</v>
      </c>
      <c r="C1" s="20" t="s">
        <v>9</v>
      </c>
      <c r="D1" s="20" t="s">
        <v>10</v>
      </c>
      <c r="E1" s="20" t="s">
        <v>7</v>
      </c>
      <c r="F1" s="20" t="s">
        <v>6</v>
      </c>
    </row>
    <row r="2" spans="1:6" x14ac:dyDescent="0.2">
      <c r="A2" s="20">
        <v>53</v>
      </c>
      <c r="B2" s="22" t="s">
        <v>15</v>
      </c>
      <c r="C2" s="20">
        <v>5538.33</v>
      </c>
      <c r="D2" s="20">
        <v>791.19</v>
      </c>
      <c r="E2" s="20" t="s">
        <v>18</v>
      </c>
      <c r="F2" s="20">
        <v>2</v>
      </c>
    </row>
    <row r="3" spans="1:6" x14ac:dyDescent="0.2">
      <c r="A3" s="20">
        <v>53</v>
      </c>
      <c r="B3" s="22" t="s">
        <v>15</v>
      </c>
      <c r="C3" s="20">
        <v>741.09</v>
      </c>
      <c r="D3" s="20">
        <v>247.03</v>
      </c>
      <c r="E3" s="20" t="s">
        <v>22</v>
      </c>
      <c r="F3" s="20">
        <v>3</v>
      </c>
    </row>
    <row r="4" spans="1:6" x14ac:dyDescent="0.2">
      <c r="A4" s="20">
        <v>41</v>
      </c>
      <c r="B4" s="22" t="s">
        <v>15</v>
      </c>
      <c r="C4" s="20">
        <v>1855.84</v>
      </c>
      <c r="D4" s="20">
        <v>463.96</v>
      </c>
      <c r="E4" s="20" t="s">
        <v>22</v>
      </c>
      <c r="F4" s="20">
        <v>3</v>
      </c>
    </row>
    <row r="5" spans="1:6" x14ac:dyDescent="0.2">
      <c r="A5" s="20">
        <v>41</v>
      </c>
      <c r="B5" s="22" t="s">
        <v>26</v>
      </c>
      <c r="C5" s="20">
        <v>3164.76</v>
      </c>
      <c r="D5" s="20">
        <v>791.19</v>
      </c>
      <c r="E5" s="20" t="s">
        <v>22</v>
      </c>
      <c r="F5" s="20">
        <v>2</v>
      </c>
    </row>
    <row r="6" spans="1:6" x14ac:dyDescent="0.2">
      <c r="A6" s="20">
        <v>75</v>
      </c>
      <c r="B6" s="22" t="s">
        <v>26</v>
      </c>
      <c r="C6" s="20">
        <v>41.5</v>
      </c>
      <c r="D6" s="20">
        <v>20.75</v>
      </c>
      <c r="E6" s="20" t="s">
        <v>22</v>
      </c>
      <c r="F6" s="20">
        <v>5</v>
      </c>
    </row>
    <row r="7" spans="1:6" x14ac:dyDescent="0.2">
      <c r="A7" s="20">
        <v>41</v>
      </c>
      <c r="B7" s="22" t="s">
        <v>15</v>
      </c>
      <c r="C7" s="20">
        <v>83</v>
      </c>
      <c r="D7" s="20">
        <v>20.75</v>
      </c>
      <c r="E7" s="20" t="s">
        <v>22</v>
      </c>
      <c r="F7" s="20">
        <v>5</v>
      </c>
    </row>
    <row r="8" spans="1:6" x14ac:dyDescent="0.2">
      <c r="A8" s="20">
        <v>25</v>
      </c>
      <c r="B8" s="22" t="s">
        <v>15</v>
      </c>
      <c r="C8" s="20">
        <v>7603.47</v>
      </c>
      <c r="D8" s="20">
        <v>844.83</v>
      </c>
      <c r="E8" s="20" t="s">
        <v>22</v>
      </c>
      <c r="F8" s="20">
        <v>3</v>
      </c>
    </row>
    <row r="9" spans="1:6" x14ac:dyDescent="0.2">
      <c r="A9" s="20">
        <v>25</v>
      </c>
      <c r="B9" s="22" t="s">
        <v>15</v>
      </c>
      <c r="C9" s="20">
        <v>4175.6400000000003</v>
      </c>
      <c r="D9" s="20">
        <v>463.96</v>
      </c>
      <c r="E9" s="20" t="s">
        <v>22</v>
      </c>
      <c r="F9" s="20">
        <v>3</v>
      </c>
    </row>
    <row r="10" spans="1:6" x14ac:dyDescent="0.2">
      <c r="A10" s="20">
        <v>24</v>
      </c>
      <c r="B10" s="22" t="s">
        <v>15</v>
      </c>
      <c r="C10" s="20">
        <v>5538.33</v>
      </c>
      <c r="D10" s="20">
        <v>791.19</v>
      </c>
      <c r="E10" s="20" t="s">
        <v>18</v>
      </c>
      <c r="F10" s="20">
        <v>2</v>
      </c>
    </row>
    <row r="11" spans="1:6" x14ac:dyDescent="0.2">
      <c r="A11" s="20">
        <v>24</v>
      </c>
      <c r="B11" s="22" t="s">
        <v>26</v>
      </c>
      <c r="C11" s="20">
        <v>4175.6400000000003</v>
      </c>
      <c r="D11" s="20">
        <v>463.96</v>
      </c>
      <c r="E11" s="20" t="s">
        <v>22</v>
      </c>
      <c r="F11" s="20">
        <v>3</v>
      </c>
    </row>
    <row r="12" spans="1:6" x14ac:dyDescent="0.2">
      <c r="A12" s="20">
        <v>24</v>
      </c>
      <c r="B12" s="22" t="s">
        <v>26</v>
      </c>
      <c r="C12" s="20">
        <v>2470.3000000000002</v>
      </c>
      <c r="D12" s="20">
        <v>247.03</v>
      </c>
      <c r="E12" s="20" t="s">
        <v>22</v>
      </c>
      <c r="F12" s="20">
        <v>3</v>
      </c>
    </row>
    <row r="13" spans="1:6" x14ac:dyDescent="0.2">
      <c r="A13" s="20">
        <v>35</v>
      </c>
      <c r="B13" s="22" t="s">
        <v>15</v>
      </c>
      <c r="C13" s="20">
        <v>7120.71</v>
      </c>
      <c r="D13" s="20">
        <v>791.19</v>
      </c>
      <c r="E13" s="20" t="s">
        <v>18</v>
      </c>
      <c r="F13" s="20">
        <v>2</v>
      </c>
    </row>
    <row r="14" spans="1:6" x14ac:dyDescent="0.2">
      <c r="A14" s="20">
        <v>66</v>
      </c>
      <c r="B14" s="22" t="s">
        <v>15</v>
      </c>
      <c r="C14" s="20">
        <v>3379.32</v>
      </c>
      <c r="D14" s="20">
        <v>844.83</v>
      </c>
      <c r="E14" s="20" t="s">
        <v>22</v>
      </c>
      <c r="F14" s="20">
        <v>3</v>
      </c>
    </row>
    <row r="15" spans="1:6" x14ac:dyDescent="0.2">
      <c r="A15" s="20">
        <v>72</v>
      </c>
      <c r="B15" s="22" t="s">
        <v>15</v>
      </c>
      <c r="C15" s="20">
        <v>7911.9</v>
      </c>
      <c r="D15" s="20">
        <v>791.19</v>
      </c>
      <c r="E15" s="20" t="s">
        <v>22</v>
      </c>
      <c r="F15" s="20">
        <v>2</v>
      </c>
    </row>
    <row r="16" spans="1:6" x14ac:dyDescent="0.2">
      <c r="A16" s="20">
        <v>42</v>
      </c>
      <c r="B16" s="22" t="s">
        <v>15</v>
      </c>
      <c r="C16" s="20">
        <v>5538.33</v>
      </c>
      <c r="D16" s="20">
        <v>791.19</v>
      </c>
      <c r="E16" s="20" t="s">
        <v>18</v>
      </c>
      <c r="F16" s="20">
        <v>2</v>
      </c>
    </row>
    <row r="17" spans="1:6" x14ac:dyDescent="0.2">
      <c r="A17" s="20">
        <v>73</v>
      </c>
      <c r="B17" s="22" t="s">
        <v>15</v>
      </c>
      <c r="C17" s="20">
        <v>5068.9799999999996</v>
      </c>
      <c r="D17" s="20">
        <v>844.83</v>
      </c>
      <c r="E17" s="20" t="s">
        <v>18</v>
      </c>
      <c r="F17" s="20">
        <v>3</v>
      </c>
    </row>
    <row r="18" spans="1:6" x14ac:dyDescent="0.2">
      <c r="A18" s="20">
        <v>73</v>
      </c>
      <c r="B18" s="22" t="s">
        <v>26</v>
      </c>
      <c r="C18" s="20">
        <v>4747.1400000000003</v>
      </c>
      <c r="D18" s="20">
        <v>791.19</v>
      </c>
      <c r="E18" s="20" t="s">
        <v>22</v>
      </c>
      <c r="F18" s="20">
        <v>2</v>
      </c>
    </row>
    <row r="19" spans="1:6" x14ac:dyDescent="0.2">
      <c r="A19" s="20">
        <v>22</v>
      </c>
      <c r="B19" s="22" t="s">
        <v>15</v>
      </c>
      <c r="C19" s="20">
        <v>83</v>
      </c>
      <c r="D19" s="20">
        <v>20.75</v>
      </c>
      <c r="E19" s="20" t="s">
        <v>22</v>
      </c>
      <c r="F19" s="20">
        <v>5</v>
      </c>
    </row>
    <row r="20" spans="1:6" x14ac:dyDescent="0.2">
      <c r="A20" s="20">
        <v>61</v>
      </c>
      <c r="B20" s="22" t="s">
        <v>26</v>
      </c>
      <c r="C20" s="20">
        <v>103.75</v>
      </c>
      <c r="D20" s="20">
        <v>20.75</v>
      </c>
      <c r="E20" s="20" t="s">
        <v>22</v>
      </c>
      <c r="F20" s="20">
        <v>5</v>
      </c>
    </row>
    <row r="21" spans="1:6" x14ac:dyDescent="0.2">
      <c r="A21" s="20">
        <v>34</v>
      </c>
      <c r="B21" s="22" t="s">
        <v>15</v>
      </c>
      <c r="C21" s="20">
        <v>124.5</v>
      </c>
      <c r="D21" s="20">
        <v>20.75</v>
      </c>
      <c r="E21" s="20" t="s">
        <v>22</v>
      </c>
      <c r="F21" s="20">
        <v>5</v>
      </c>
    </row>
    <row r="22" spans="1:6" x14ac:dyDescent="0.2">
      <c r="A22" s="20">
        <v>45</v>
      </c>
      <c r="B22" s="22" t="s">
        <v>15</v>
      </c>
      <c r="C22" s="20">
        <v>83</v>
      </c>
      <c r="D22" s="20">
        <v>20.75</v>
      </c>
      <c r="E22" s="20" t="s">
        <v>18</v>
      </c>
      <c r="F22" s="20">
        <v>5</v>
      </c>
    </row>
    <row r="23" spans="1:6" x14ac:dyDescent="0.2">
      <c r="A23" s="20">
        <v>45</v>
      </c>
      <c r="B23" s="22" t="s">
        <v>15</v>
      </c>
      <c r="C23" s="20">
        <v>988.12</v>
      </c>
      <c r="D23" s="20">
        <v>247.03</v>
      </c>
      <c r="E23" s="20" t="s">
        <v>22</v>
      </c>
      <c r="F23" s="20">
        <v>3</v>
      </c>
    </row>
    <row r="24" spans="1:6" x14ac:dyDescent="0.2">
      <c r="A24" s="20">
        <v>45</v>
      </c>
      <c r="B24" s="22" t="s">
        <v>26</v>
      </c>
      <c r="C24" s="20">
        <v>844.83</v>
      </c>
      <c r="D24" s="20">
        <v>844.83</v>
      </c>
      <c r="E24" s="20" t="s">
        <v>18</v>
      </c>
      <c r="F24" s="20">
        <v>3</v>
      </c>
    </row>
    <row r="25" spans="1:6" x14ac:dyDescent="0.2">
      <c r="A25" s="20">
        <v>57</v>
      </c>
      <c r="B25" s="22" t="s">
        <v>15</v>
      </c>
      <c r="C25" s="20">
        <v>3379.32</v>
      </c>
      <c r="D25" s="20">
        <v>844.83</v>
      </c>
      <c r="E25" s="20" t="s">
        <v>18</v>
      </c>
      <c r="F25" s="20">
        <v>3</v>
      </c>
    </row>
    <row r="26" spans="1:6" x14ac:dyDescent="0.2">
      <c r="A26" s="20">
        <v>71</v>
      </c>
      <c r="B26" s="22" t="s">
        <v>26</v>
      </c>
      <c r="C26" s="20">
        <v>844.83</v>
      </c>
      <c r="D26" s="20">
        <v>844.83</v>
      </c>
      <c r="E26" s="20" t="s">
        <v>22</v>
      </c>
      <c r="F26" s="20">
        <v>3</v>
      </c>
    </row>
    <row r="27" spans="1:6" x14ac:dyDescent="0.2">
      <c r="A27" s="20">
        <v>76</v>
      </c>
      <c r="B27" s="22" t="s">
        <v>15</v>
      </c>
      <c r="C27" s="20">
        <v>6758.64</v>
      </c>
      <c r="D27" s="20">
        <v>844.83</v>
      </c>
      <c r="E27" s="20" t="s">
        <v>18</v>
      </c>
      <c r="F27" s="20">
        <v>3</v>
      </c>
    </row>
    <row r="28" spans="1:6" x14ac:dyDescent="0.2">
      <c r="A28" s="20">
        <v>49</v>
      </c>
      <c r="B28" s="22" t="s">
        <v>15</v>
      </c>
      <c r="C28" s="20">
        <v>1582.38</v>
      </c>
      <c r="D28" s="20">
        <v>791.19</v>
      </c>
      <c r="E28" s="20" t="s">
        <v>22</v>
      </c>
      <c r="F28" s="20">
        <v>2</v>
      </c>
    </row>
    <row r="29" spans="1:6" x14ac:dyDescent="0.2">
      <c r="A29" s="20">
        <v>77</v>
      </c>
      <c r="B29" s="22" t="s">
        <v>15</v>
      </c>
      <c r="C29" s="20">
        <v>2783.76</v>
      </c>
      <c r="D29" s="20">
        <v>463.96</v>
      </c>
      <c r="E29" s="20" t="s">
        <v>22</v>
      </c>
      <c r="F29" s="20">
        <v>3</v>
      </c>
    </row>
    <row r="30" spans="1:6" x14ac:dyDescent="0.2">
      <c r="A30" s="20">
        <v>77</v>
      </c>
      <c r="B30" s="22" t="s">
        <v>15</v>
      </c>
      <c r="C30" s="20">
        <v>83</v>
      </c>
      <c r="D30" s="20">
        <v>20.75</v>
      </c>
      <c r="E30" s="20" t="s">
        <v>22</v>
      </c>
      <c r="F30" s="20">
        <v>5</v>
      </c>
    </row>
    <row r="31" spans="1:6" x14ac:dyDescent="0.2">
      <c r="A31" s="20">
        <v>22</v>
      </c>
      <c r="B31" s="22" t="s">
        <v>15</v>
      </c>
      <c r="C31" s="20">
        <v>4747.1400000000003</v>
      </c>
      <c r="D31" s="20">
        <v>791.19</v>
      </c>
      <c r="E31" s="20" t="s">
        <v>22</v>
      </c>
      <c r="F31" s="20">
        <v>2</v>
      </c>
    </row>
    <row r="32" spans="1:6" x14ac:dyDescent="0.2">
      <c r="A32" s="20">
        <v>79</v>
      </c>
      <c r="B32" s="22" t="s">
        <v>15</v>
      </c>
      <c r="C32" s="20">
        <v>6758.64</v>
      </c>
      <c r="D32" s="20">
        <v>844.83</v>
      </c>
      <c r="E32" s="20" t="s">
        <v>22</v>
      </c>
      <c r="F32" s="20">
        <v>3</v>
      </c>
    </row>
    <row r="33" spans="1:6" x14ac:dyDescent="0.2">
      <c r="A33" s="20">
        <v>69</v>
      </c>
      <c r="B33" s="22" t="s">
        <v>15</v>
      </c>
      <c r="C33" s="20">
        <v>4224.1499999999996</v>
      </c>
      <c r="D33" s="20">
        <v>844.83</v>
      </c>
      <c r="E33" s="20" t="s">
        <v>22</v>
      </c>
      <c r="F33" s="20">
        <v>3</v>
      </c>
    </row>
    <row r="34" spans="1:6" x14ac:dyDescent="0.2">
      <c r="A34" s="20">
        <v>20</v>
      </c>
      <c r="B34" s="22" t="s">
        <v>15</v>
      </c>
      <c r="C34" s="20">
        <v>5913.81</v>
      </c>
      <c r="D34" s="20">
        <v>844.83</v>
      </c>
      <c r="E34" s="20" t="s">
        <v>22</v>
      </c>
      <c r="F34" s="20">
        <v>3</v>
      </c>
    </row>
    <row r="35" spans="1:6" x14ac:dyDescent="0.2">
      <c r="A35" s="20">
        <v>20</v>
      </c>
      <c r="B35" s="22" t="s">
        <v>15</v>
      </c>
      <c r="C35" s="20">
        <v>103.75</v>
      </c>
      <c r="D35" s="20">
        <v>20.75</v>
      </c>
      <c r="E35" s="20" t="s">
        <v>22</v>
      </c>
      <c r="F35" s="20">
        <v>5</v>
      </c>
    </row>
    <row r="36" spans="1:6" x14ac:dyDescent="0.2">
      <c r="A36" s="20">
        <v>54</v>
      </c>
      <c r="B36" s="22" t="s">
        <v>15</v>
      </c>
      <c r="C36" s="20">
        <v>988.12</v>
      </c>
      <c r="D36" s="20">
        <v>247.03</v>
      </c>
      <c r="E36" s="20" t="s">
        <v>22</v>
      </c>
      <c r="F36" s="20">
        <v>3</v>
      </c>
    </row>
    <row r="37" spans="1:6" x14ac:dyDescent="0.2">
      <c r="A37" s="20">
        <v>54</v>
      </c>
      <c r="B37" s="22" t="s">
        <v>15</v>
      </c>
      <c r="C37" s="20">
        <v>3164.76</v>
      </c>
      <c r="D37" s="20">
        <v>791.19</v>
      </c>
      <c r="E37" s="20" t="s">
        <v>22</v>
      </c>
      <c r="F37" s="20">
        <v>2</v>
      </c>
    </row>
    <row r="38" spans="1:6" x14ac:dyDescent="0.2">
      <c r="A38" s="20">
        <v>32</v>
      </c>
      <c r="B38" s="22" t="s">
        <v>15</v>
      </c>
      <c r="C38" s="20">
        <v>186.75</v>
      </c>
      <c r="D38" s="20">
        <v>20.75</v>
      </c>
      <c r="E38" s="20" t="s">
        <v>22</v>
      </c>
      <c r="F38" s="20">
        <v>5</v>
      </c>
    </row>
    <row r="39" spans="1:6" x14ac:dyDescent="0.2">
      <c r="A39" s="20">
        <v>32</v>
      </c>
      <c r="B39" s="22" t="s">
        <v>26</v>
      </c>
      <c r="C39" s="20">
        <v>62.25</v>
      </c>
      <c r="D39" s="20">
        <v>20.75</v>
      </c>
      <c r="E39" s="20" t="s">
        <v>22</v>
      </c>
      <c r="F39" s="20">
        <v>5</v>
      </c>
    </row>
    <row r="40" spans="1:6" x14ac:dyDescent="0.2">
      <c r="A40" s="20">
        <v>60</v>
      </c>
      <c r="B40" s="22" t="s">
        <v>26</v>
      </c>
      <c r="C40" s="20">
        <v>3955.95</v>
      </c>
      <c r="D40" s="20">
        <v>791.19</v>
      </c>
      <c r="E40" s="20" t="s">
        <v>18</v>
      </c>
      <c r="F40" s="20">
        <v>2</v>
      </c>
    </row>
    <row r="41" spans="1:6" x14ac:dyDescent="0.2">
      <c r="A41" s="20">
        <v>60</v>
      </c>
      <c r="B41" s="22" t="s">
        <v>26</v>
      </c>
      <c r="C41" s="20">
        <v>791.19</v>
      </c>
      <c r="D41" s="20">
        <v>791.19</v>
      </c>
      <c r="E41" s="20" t="s">
        <v>18</v>
      </c>
      <c r="F41" s="20">
        <v>2</v>
      </c>
    </row>
    <row r="42" spans="1:6" x14ac:dyDescent="0.2">
      <c r="A42" s="20">
        <v>56</v>
      </c>
      <c r="B42" s="22" t="s">
        <v>15</v>
      </c>
      <c r="C42" s="20">
        <v>4224.1499999999996</v>
      </c>
      <c r="D42" s="20">
        <v>844.83</v>
      </c>
      <c r="E42" s="20" t="s">
        <v>22</v>
      </c>
      <c r="F42" s="20">
        <v>3</v>
      </c>
    </row>
    <row r="43" spans="1:6" x14ac:dyDescent="0.2">
      <c r="A43" s="20">
        <v>56</v>
      </c>
      <c r="B43" s="22" t="s">
        <v>26</v>
      </c>
      <c r="C43" s="20">
        <v>5068.9799999999996</v>
      </c>
      <c r="D43" s="20">
        <v>844.83</v>
      </c>
      <c r="E43" s="20" t="s">
        <v>22</v>
      </c>
      <c r="F43" s="20">
        <v>3</v>
      </c>
    </row>
    <row r="44" spans="1:6" x14ac:dyDescent="0.2">
      <c r="A44" s="20">
        <v>56</v>
      </c>
      <c r="B44" s="22" t="s">
        <v>15</v>
      </c>
      <c r="C44" s="20">
        <v>145.25</v>
      </c>
      <c r="D44" s="20">
        <v>20.75</v>
      </c>
      <c r="E44" s="20" t="s">
        <v>22</v>
      </c>
      <c r="F44" s="20">
        <v>5</v>
      </c>
    </row>
    <row r="45" spans="1:6" x14ac:dyDescent="0.2">
      <c r="A45" s="20">
        <v>56</v>
      </c>
      <c r="B45" s="22" t="s">
        <v>15</v>
      </c>
      <c r="C45" s="20">
        <v>5538.33</v>
      </c>
      <c r="D45" s="20">
        <v>791.19</v>
      </c>
      <c r="E45" s="20" t="s">
        <v>22</v>
      </c>
      <c r="F45" s="20">
        <v>2</v>
      </c>
    </row>
    <row r="46" spans="1:6" x14ac:dyDescent="0.2">
      <c r="A46" s="20">
        <v>53</v>
      </c>
      <c r="B46" s="22" t="s">
        <v>15</v>
      </c>
      <c r="C46" s="20">
        <v>1729.21</v>
      </c>
      <c r="D46" s="20">
        <v>247.03</v>
      </c>
      <c r="E46" s="20" t="s">
        <v>22</v>
      </c>
      <c r="F46" s="20">
        <v>3</v>
      </c>
    </row>
    <row r="47" spans="1:6" x14ac:dyDescent="0.2">
      <c r="A47" s="20">
        <v>45</v>
      </c>
      <c r="B47" s="22" t="s">
        <v>26</v>
      </c>
      <c r="C47" s="20">
        <v>6329.52</v>
      </c>
      <c r="D47" s="20">
        <v>791.19</v>
      </c>
      <c r="E47" s="20" t="s">
        <v>22</v>
      </c>
      <c r="F47" s="20">
        <v>2</v>
      </c>
    </row>
    <row r="48" spans="1:6" x14ac:dyDescent="0.2">
      <c r="A48" s="20">
        <v>65</v>
      </c>
      <c r="B48" s="22" t="s">
        <v>15</v>
      </c>
      <c r="C48" s="20">
        <v>145.25</v>
      </c>
      <c r="D48" s="20">
        <v>20.75</v>
      </c>
      <c r="E48" s="20" t="s">
        <v>18</v>
      </c>
      <c r="F48" s="20">
        <v>5</v>
      </c>
    </row>
    <row r="49" spans="1:6" x14ac:dyDescent="0.2">
      <c r="A49" s="20">
        <v>65</v>
      </c>
      <c r="B49" s="22" t="s">
        <v>15</v>
      </c>
      <c r="C49" s="20">
        <v>5913.81</v>
      </c>
      <c r="D49" s="20">
        <v>844.83</v>
      </c>
      <c r="E49" s="20" t="s">
        <v>22</v>
      </c>
      <c r="F49" s="20">
        <v>3</v>
      </c>
    </row>
    <row r="50" spans="1:6" x14ac:dyDescent="0.2">
      <c r="A50" s="20">
        <v>76</v>
      </c>
      <c r="B50" s="22" t="s">
        <v>15</v>
      </c>
      <c r="C50" s="20">
        <v>207.5</v>
      </c>
      <c r="D50" s="20">
        <v>20.75</v>
      </c>
      <c r="E50" s="20" t="s">
        <v>22</v>
      </c>
      <c r="F50" s="20">
        <v>5</v>
      </c>
    </row>
    <row r="51" spans="1:6" x14ac:dyDescent="0.2">
      <c r="A51" s="20">
        <v>73</v>
      </c>
      <c r="B51" s="22" t="s">
        <v>15</v>
      </c>
      <c r="C51" s="20">
        <v>2470.3000000000002</v>
      </c>
      <c r="D51" s="20">
        <v>247.03</v>
      </c>
      <c r="E51" s="20" t="s">
        <v>22</v>
      </c>
      <c r="F51" s="20">
        <v>3</v>
      </c>
    </row>
    <row r="52" spans="1:6" x14ac:dyDescent="0.2">
      <c r="A52" s="20">
        <v>67</v>
      </c>
      <c r="B52" s="22" t="s">
        <v>15</v>
      </c>
      <c r="C52" s="20">
        <v>2470.3000000000002</v>
      </c>
      <c r="D52" s="20">
        <v>247.03</v>
      </c>
      <c r="E52" s="20" t="s">
        <v>18</v>
      </c>
      <c r="F52" s="20">
        <v>3</v>
      </c>
    </row>
    <row r="53" spans="1:6" x14ac:dyDescent="0.2">
      <c r="A53" s="20">
        <v>50</v>
      </c>
      <c r="B53" s="22" t="s">
        <v>15</v>
      </c>
      <c r="C53" s="20">
        <v>145.25</v>
      </c>
      <c r="D53" s="20">
        <v>20.75</v>
      </c>
      <c r="E53" s="20" t="s">
        <v>22</v>
      </c>
      <c r="F53" s="20">
        <v>5</v>
      </c>
    </row>
    <row r="54" spans="1:6" x14ac:dyDescent="0.2">
      <c r="A54" s="20">
        <v>72</v>
      </c>
      <c r="B54" s="22" t="s">
        <v>15</v>
      </c>
      <c r="C54" s="20">
        <v>5068.9799999999996</v>
      </c>
      <c r="D54" s="20">
        <v>844.83</v>
      </c>
      <c r="E54" s="20" t="s">
        <v>18</v>
      </c>
      <c r="F54" s="20">
        <v>3</v>
      </c>
    </row>
    <row r="55" spans="1:6" x14ac:dyDescent="0.2">
      <c r="A55" s="20">
        <v>79</v>
      </c>
      <c r="B55" s="22" t="s">
        <v>15</v>
      </c>
      <c r="C55" s="20">
        <v>4175.6400000000003</v>
      </c>
      <c r="D55" s="20">
        <v>463.96</v>
      </c>
      <c r="E55" s="20" t="s">
        <v>22</v>
      </c>
      <c r="F55" s="20">
        <v>3</v>
      </c>
    </row>
    <row r="56" spans="1:6" x14ac:dyDescent="0.2">
      <c r="A56" s="20">
        <v>30</v>
      </c>
      <c r="B56" s="22" t="s">
        <v>26</v>
      </c>
      <c r="C56" s="20">
        <v>62.25</v>
      </c>
      <c r="D56" s="20">
        <v>20.75</v>
      </c>
      <c r="E56" s="20" t="s">
        <v>22</v>
      </c>
      <c r="F56" s="20">
        <v>5</v>
      </c>
    </row>
    <row r="57" spans="1:6" x14ac:dyDescent="0.2">
      <c r="A57" s="20">
        <v>24</v>
      </c>
      <c r="B57" s="22" t="s">
        <v>15</v>
      </c>
      <c r="C57" s="20">
        <v>1855.84</v>
      </c>
      <c r="D57" s="20">
        <v>463.96</v>
      </c>
      <c r="E57" s="20" t="s">
        <v>22</v>
      </c>
      <c r="F57" s="20">
        <v>3</v>
      </c>
    </row>
    <row r="58" spans="1:6" x14ac:dyDescent="0.2">
      <c r="A58" s="20">
        <v>71</v>
      </c>
      <c r="B58" s="22" t="s">
        <v>15</v>
      </c>
      <c r="C58" s="20">
        <v>7603.47</v>
      </c>
      <c r="D58" s="20">
        <v>844.83</v>
      </c>
      <c r="E58" s="20" t="s">
        <v>18</v>
      </c>
      <c r="F58" s="20">
        <v>3</v>
      </c>
    </row>
    <row r="59" spans="1:6" x14ac:dyDescent="0.2">
      <c r="A59" s="20">
        <v>71</v>
      </c>
      <c r="B59" s="22" t="s">
        <v>15</v>
      </c>
      <c r="C59" s="20">
        <v>1482.18</v>
      </c>
      <c r="D59" s="20">
        <v>247.03</v>
      </c>
      <c r="E59" s="20" t="s">
        <v>18</v>
      </c>
      <c r="F59" s="20">
        <v>3</v>
      </c>
    </row>
    <row r="60" spans="1:6" x14ac:dyDescent="0.2">
      <c r="A60" s="20">
        <v>21</v>
      </c>
      <c r="B60" s="22" t="s">
        <v>15</v>
      </c>
      <c r="C60" s="20">
        <v>166</v>
      </c>
      <c r="D60" s="20">
        <v>20.75</v>
      </c>
      <c r="E60" s="20" t="s">
        <v>22</v>
      </c>
      <c r="F60" s="20">
        <v>5</v>
      </c>
    </row>
    <row r="61" spans="1:6" x14ac:dyDescent="0.2">
      <c r="A61" s="20">
        <v>21</v>
      </c>
      <c r="B61" s="22" t="s">
        <v>15</v>
      </c>
      <c r="C61" s="20">
        <v>3955.95</v>
      </c>
      <c r="D61" s="20">
        <v>791.19</v>
      </c>
      <c r="E61" s="20" t="s">
        <v>18</v>
      </c>
      <c r="F61" s="20">
        <v>2</v>
      </c>
    </row>
    <row r="62" spans="1:6" x14ac:dyDescent="0.2">
      <c r="A62" s="20">
        <v>37</v>
      </c>
      <c r="B62" s="22" t="s">
        <v>15</v>
      </c>
      <c r="C62" s="20">
        <v>3247.72</v>
      </c>
      <c r="D62" s="20">
        <v>463.96</v>
      </c>
      <c r="E62" s="20" t="s">
        <v>22</v>
      </c>
      <c r="F62" s="20">
        <v>3</v>
      </c>
    </row>
    <row r="63" spans="1:6" x14ac:dyDescent="0.2">
      <c r="A63" s="20">
        <v>37</v>
      </c>
      <c r="B63" s="22" t="s">
        <v>15</v>
      </c>
      <c r="C63" s="20">
        <v>463.96</v>
      </c>
      <c r="D63" s="20">
        <v>463.96</v>
      </c>
      <c r="E63" s="20" t="s">
        <v>22</v>
      </c>
      <c r="F63" s="20">
        <v>3</v>
      </c>
    </row>
    <row r="64" spans="1:6" x14ac:dyDescent="0.2">
      <c r="A64" s="20">
        <v>72</v>
      </c>
      <c r="B64" s="22" t="s">
        <v>26</v>
      </c>
      <c r="C64" s="20">
        <v>1855.84</v>
      </c>
      <c r="D64" s="20">
        <v>463.96</v>
      </c>
      <c r="E64" s="20" t="s">
        <v>22</v>
      </c>
      <c r="F64" s="20">
        <v>3</v>
      </c>
    </row>
    <row r="65" spans="1:6" x14ac:dyDescent="0.2">
      <c r="A65" s="20">
        <v>72</v>
      </c>
      <c r="B65" s="22" t="s">
        <v>26</v>
      </c>
      <c r="C65" s="20">
        <v>1482.18</v>
      </c>
      <c r="D65" s="20">
        <v>247.03</v>
      </c>
      <c r="E65" s="20" t="s">
        <v>22</v>
      </c>
      <c r="F65" s="20">
        <v>3</v>
      </c>
    </row>
    <row r="66" spans="1:6" x14ac:dyDescent="0.2">
      <c r="A66" s="20">
        <v>72</v>
      </c>
      <c r="B66" s="22" t="s">
        <v>15</v>
      </c>
      <c r="C66" s="20">
        <v>1582.38</v>
      </c>
      <c r="D66" s="20">
        <v>791.19</v>
      </c>
      <c r="E66" s="20" t="s">
        <v>22</v>
      </c>
      <c r="F66" s="20">
        <v>2</v>
      </c>
    </row>
    <row r="67" spans="1:6" x14ac:dyDescent="0.2">
      <c r="A67" s="20">
        <v>56</v>
      </c>
      <c r="B67" s="22" t="s">
        <v>26</v>
      </c>
      <c r="C67" s="20">
        <v>1976.24</v>
      </c>
      <c r="D67" s="20">
        <v>247.03</v>
      </c>
      <c r="E67" s="20" t="s">
        <v>22</v>
      </c>
      <c r="F67" s="20">
        <v>3</v>
      </c>
    </row>
    <row r="68" spans="1:6" x14ac:dyDescent="0.2">
      <c r="A68" s="20">
        <v>56</v>
      </c>
      <c r="B68" s="22" t="s">
        <v>15</v>
      </c>
      <c r="C68" s="20">
        <v>463.96</v>
      </c>
      <c r="D68" s="20">
        <v>463.96</v>
      </c>
      <c r="E68" s="20" t="s">
        <v>22</v>
      </c>
      <c r="F68" s="20">
        <v>3</v>
      </c>
    </row>
    <row r="69" spans="1:6" x14ac:dyDescent="0.2">
      <c r="A69" s="20">
        <v>62</v>
      </c>
      <c r="B69" s="22" t="s">
        <v>15</v>
      </c>
      <c r="C69" s="20">
        <v>6329.52</v>
      </c>
      <c r="D69" s="20">
        <v>791.19</v>
      </c>
      <c r="E69" s="20" t="s">
        <v>22</v>
      </c>
      <c r="F69" s="20">
        <v>2</v>
      </c>
    </row>
    <row r="70" spans="1:6" x14ac:dyDescent="0.2">
      <c r="A70" s="20">
        <v>64</v>
      </c>
      <c r="B70" s="22" t="s">
        <v>26</v>
      </c>
      <c r="C70" s="20">
        <v>1855.84</v>
      </c>
      <c r="D70" s="20">
        <v>463.96</v>
      </c>
      <c r="E70" s="20" t="s">
        <v>22</v>
      </c>
      <c r="F70" s="20">
        <v>3</v>
      </c>
    </row>
    <row r="71" spans="1:6" x14ac:dyDescent="0.2">
      <c r="A71" s="20">
        <v>64</v>
      </c>
      <c r="B71" s="22" t="s">
        <v>15</v>
      </c>
      <c r="C71" s="20">
        <v>2373.5700000000002</v>
      </c>
      <c r="D71" s="20">
        <v>791.19</v>
      </c>
      <c r="E71" s="20" t="s">
        <v>18</v>
      </c>
      <c r="F71" s="20">
        <v>2</v>
      </c>
    </row>
    <row r="72" spans="1:6" x14ac:dyDescent="0.2">
      <c r="A72" s="20">
        <v>44</v>
      </c>
      <c r="B72" s="22" t="s">
        <v>15</v>
      </c>
      <c r="C72" s="20">
        <v>2373.5700000000002</v>
      </c>
      <c r="D72" s="20">
        <v>791.19</v>
      </c>
      <c r="E72" s="20" t="s">
        <v>18</v>
      </c>
      <c r="F72" s="20">
        <v>2</v>
      </c>
    </row>
    <row r="73" spans="1:6" x14ac:dyDescent="0.2">
      <c r="A73" s="20">
        <v>44</v>
      </c>
      <c r="B73" s="22" t="s">
        <v>15</v>
      </c>
      <c r="C73" s="20">
        <v>2373.5700000000002</v>
      </c>
      <c r="D73" s="20">
        <v>791.19</v>
      </c>
      <c r="E73" s="20" t="s">
        <v>22</v>
      </c>
      <c r="F73" s="20">
        <v>2</v>
      </c>
    </row>
    <row r="74" spans="1:6" x14ac:dyDescent="0.2">
      <c r="A74" s="20">
        <v>49</v>
      </c>
      <c r="B74" s="22" t="s">
        <v>15</v>
      </c>
      <c r="C74" s="20">
        <v>1729.21</v>
      </c>
      <c r="D74" s="20">
        <v>247.03</v>
      </c>
      <c r="E74" s="20" t="s">
        <v>18</v>
      </c>
      <c r="F74" s="20">
        <v>3</v>
      </c>
    </row>
    <row r="75" spans="1:6" x14ac:dyDescent="0.2">
      <c r="A75" s="20">
        <v>49</v>
      </c>
      <c r="B75" s="22" t="s">
        <v>15</v>
      </c>
      <c r="C75" s="20">
        <v>1689.66</v>
      </c>
      <c r="D75" s="20">
        <v>844.83</v>
      </c>
      <c r="E75" s="20" t="s">
        <v>22</v>
      </c>
      <c r="F75" s="20">
        <v>3</v>
      </c>
    </row>
    <row r="76" spans="1:6" x14ac:dyDescent="0.2">
      <c r="A76" s="20">
        <v>27</v>
      </c>
      <c r="B76" s="22" t="s">
        <v>15</v>
      </c>
      <c r="C76" s="20">
        <v>145.25</v>
      </c>
      <c r="D76" s="20">
        <v>20.75</v>
      </c>
      <c r="E76" s="20" t="s">
        <v>22</v>
      </c>
      <c r="F76" s="20">
        <v>5</v>
      </c>
    </row>
    <row r="77" spans="1:6" x14ac:dyDescent="0.2">
      <c r="A77" s="20">
        <v>30</v>
      </c>
      <c r="B77" s="22" t="s">
        <v>15</v>
      </c>
      <c r="C77" s="20">
        <v>62.25</v>
      </c>
      <c r="D77" s="20">
        <v>20.75</v>
      </c>
      <c r="E77" s="20" t="s">
        <v>18</v>
      </c>
      <c r="F77" s="20">
        <v>5</v>
      </c>
    </row>
    <row r="78" spans="1:6" x14ac:dyDescent="0.2">
      <c r="A78" s="20">
        <v>54</v>
      </c>
      <c r="B78" s="22" t="s">
        <v>15</v>
      </c>
      <c r="C78" s="20">
        <v>7603.47</v>
      </c>
      <c r="D78" s="20">
        <v>844.83</v>
      </c>
      <c r="E78" s="20" t="s">
        <v>22</v>
      </c>
      <c r="F78" s="20">
        <v>3</v>
      </c>
    </row>
    <row r="79" spans="1:6" x14ac:dyDescent="0.2">
      <c r="A79" s="20">
        <v>46</v>
      </c>
      <c r="B79" s="22" t="s">
        <v>15</v>
      </c>
      <c r="C79" s="20">
        <v>2223.27</v>
      </c>
      <c r="D79" s="20">
        <v>247.03</v>
      </c>
      <c r="E79" s="20" t="s">
        <v>22</v>
      </c>
      <c r="F79" s="20">
        <v>3</v>
      </c>
    </row>
    <row r="80" spans="1:6" x14ac:dyDescent="0.2">
      <c r="A80" s="20">
        <v>46</v>
      </c>
      <c r="B80" s="22" t="s">
        <v>26</v>
      </c>
      <c r="C80" s="20">
        <v>1976.24</v>
      </c>
      <c r="D80" s="20">
        <v>247.03</v>
      </c>
      <c r="E80" s="20" t="s">
        <v>22</v>
      </c>
      <c r="F80" s="20">
        <v>3</v>
      </c>
    </row>
    <row r="81" spans="1:6" x14ac:dyDescent="0.2">
      <c r="A81" s="20">
        <v>58</v>
      </c>
      <c r="B81" s="22" t="s">
        <v>15</v>
      </c>
      <c r="C81" s="20">
        <v>7603.47</v>
      </c>
      <c r="D81" s="20">
        <v>844.83</v>
      </c>
      <c r="E81" s="20" t="s">
        <v>22</v>
      </c>
      <c r="F81" s="20">
        <v>3</v>
      </c>
    </row>
    <row r="82" spans="1:6" x14ac:dyDescent="0.2">
      <c r="A82" s="20">
        <v>26</v>
      </c>
      <c r="B82" s="22" t="s">
        <v>15</v>
      </c>
      <c r="C82" s="20">
        <v>2373.5700000000002</v>
      </c>
      <c r="D82" s="20">
        <v>791.19</v>
      </c>
      <c r="E82" s="20" t="s">
        <v>22</v>
      </c>
      <c r="F82" s="20">
        <v>2</v>
      </c>
    </row>
    <row r="83" spans="1:6" x14ac:dyDescent="0.2">
      <c r="A83" s="20">
        <v>26</v>
      </c>
      <c r="B83" s="22" t="s">
        <v>15</v>
      </c>
      <c r="C83" s="20">
        <v>1482.18</v>
      </c>
      <c r="D83" s="20">
        <v>247.03</v>
      </c>
      <c r="E83" s="20" t="s">
        <v>22</v>
      </c>
      <c r="F83" s="20">
        <v>3</v>
      </c>
    </row>
    <row r="84" spans="1:6" x14ac:dyDescent="0.2">
      <c r="A84" s="20">
        <v>64</v>
      </c>
      <c r="B84" s="22" t="s">
        <v>15</v>
      </c>
      <c r="C84" s="20">
        <v>41.5</v>
      </c>
      <c r="D84" s="20">
        <v>20.75</v>
      </c>
      <c r="E84" s="20" t="s">
        <v>22</v>
      </c>
      <c r="F84" s="20">
        <v>5</v>
      </c>
    </row>
    <row r="85" spans="1:6" x14ac:dyDescent="0.2">
      <c r="A85" s="20">
        <v>64</v>
      </c>
      <c r="B85" s="22" t="s">
        <v>26</v>
      </c>
      <c r="C85" s="20">
        <v>3164.76</v>
      </c>
      <c r="D85" s="20">
        <v>791.19</v>
      </c>
      <c r="E85" s="20" t="s">
        <v>22</v>
      </c>
      <c r="F85" s="20">
        <v>2</v>
      </c>
    </row>
    <row r="86" spans="1:6" x14ac:dyDescent="0.2">
      <c r="A86" s="20">
        <v>64</v>
      </c>
      <c r="B86" s="22" t="s">
        <v>15</v>
      </c>
      <c r="C86" s="20">
        <v>2373.5700000000002</v>
      </c>
      <c r="D86" s="20">
        <v>791.19</v>
      </c>
      <c r="E86" s="20" t="s">
        <v>22</v>
      </c>
      <c r="F86" s="20">
        <v>2</v>
      </c>
    </row>
    <row r="87" spans="1:6" x14ac:dyDescent="0.2">
      <c r="A87" s="20">
        <v>55</v>
      </c>
      <c r="B87" s="22" t="s">
        <v>15</v>
      </c>
      <c r="C87" s="20">
        <v>3164.76</v>
      </c>
      <c r="D87" s="20">
        <v>791.19</v>
      </c>
      <c r="E87" s="20" t="s">
        <v>18</v>
      </c>
      <c r="F87" s="20">
        <v>2</v>
      </c>
    </row>
    <row r="88" spans="1:6" x14ac:dyDescent="0.2">
      <c r="A88" s="20">
        <v>55</v>
      </c>
      <c r="B88" s="22" t="s">
        <v>15</v>
      </c>
      <c r="C88" s="20">
        <v>247.03</v>
      </c>
      <c r="D88" s="20">
        <v>247.03</v>
      </c>
      <c r="E88" s="20" t="s">
        <v>22</v>
      </c>
      <c r="F88" s="20">
        <v>3</v>
      </c>
    </row>
    <row r="89" spans="1:6" x14ac:dyDescent="0.2">
      <c r="A89" s="20">
        <v>24</v>
      </c>
      <c r="B89" s="22" t="s">
        <v>15</v>
      </c>
      <c r="C89" s="20">
        <v>3379.32</v>
      </c>
      <c r="D89" s="20">
        <v>844.83</v>
      </c>
      <c r="E89" s="20" t="s">
        <v>22</v>
      </c>
      <c r="F89" s="20">
        <v>3</v>
      </c>
    </row>
    <row r="90" spans="1:6" x14ac:dyDescent="0.2">
      <c r="A90" s="20">
        <v>74</v>
      </c>
      <c r="B90" s="22" t="s">
        <v>15</v>
      </c>
      <c r="C90" s="20">
        <v>20.75</v>
      </c>
      <c r="D90" s="20">
        <v>20.75</v>
      </c>
      <c r="E90" s="20" t="s">
        <v>22</v>
      </c>
      <c r="F90" s="20">
        <v>5</v>
      </c>
    </row>
    <row r="91" spans="1:6" x14ac:dyDescent="0.2">
      <c r="A91" s="20">
        <v>74</v>
      </c>
      <c r="B91" s="22" t="s">
        <v>15</v>
      </c>
      <c r="C91" s="20">
        <v>741.09</v>
      </c>
      <c r="D91" s="20">
        <v>247.03</v>
      </c>
      <c r="E91" s="20" t="s">
        <v>22</v>
      </c>
      <c r="F91" s="20">
        <v>3</v>
      </c>
    </row>
    <row r="92" spans="1:6" x14ac:dyDescent="0.2">
      <c r="A92" s="20">
        <v>76</v>
      </c>
      <c r="B92" s="22" t="s">
        <v>15</v>
      </c>
      <c r="C92" s="20">
        <v>166</v>
      </c>
      <c r="D92" s="20">
        <v>20.75</v>
      </c>
      <c r="E92" s="20" t="s">
        <v>22</v>
      </c>
      <c r="F92" s="20">
        <v>5</v>
      </c>
    </row>
    <row r="93" spans="1:6" x14ac:dyDescent="0.2">
      <c r="A93" s="20">
        <v>45</v>
      </c>
      <c r="B93" s="22" t="s">
        <v>15</v>
      </c>
      <c r="C93" s="20">
        <v>3955.95</v>
      </c>
      <c r="D93" s="20">
        <v>791.19</v>
      </c>
      <c r="E93" s="20" t="s">
        <v>22</v>
      </c>
      <c r="F93" s="20">
        <v>2</v>
      </c>
    </row>
    <row r="94" spans="1:6" x14ac:dyDescent="0.2">
      <c r="A94" s="20">
        <v>31</v>
      </c>
      <c r="B94" s="22" t="s">
        <v>15</v>
      </c>
      <c r="C94" s="20">
        <v>741.09</v>
      </c>
      <c r="D94" s="20">
        <v>247.03</v>
      </c>
      <c r="E94" s="20" t="s">
        <v>18</v>
      </c>
      <c r="F94" s="20">
        <v>3</v>
      </c>
    </row>
    <row r="95" spans="1:6" x14ac:dyDescent="0.2">
      <c r="A95" s="20">
        <v>22</v>
      </c>
      <c r="B95" s="22" t="s">
        <v>26</v>
      </c>
      <c r="C95" s="20">
        <v>1689.66</v>
      </c>
      <c r="D95" s="20">
        <v>844.83</v>
      </c>
      <c r="E95" s="20" t="s">
        <v>18</v>
      </c>
      <c r="F95" s="20">
        <v>3</v>
      </c>
    </row>
    <row r="96" spans="1:6" x14ac:dyDescent="0.2">
      <c r="A96" s="20">
        <v>56</v>
      </c>
      <c r="B96" s="22" t="s">
        <v>15</v>
      </c>
      <c r="C96" s="20">
        <v>7120.71</v>
      </c>
      <c r="D96" s="20">
        <v>791.19</v>
      </c>
      <c r="E96" s="20" t="s">
        <v>22</v>
      </c>
      <c r="F96" s="20">
        <v>2</v>
      </c>
    </row>
    <row r="97" spans="1:6" x14ac:dyDescent="0.2">
      <c r="A97" s="20">
        <v>65</v>
      </c>
      <c r="B97" s="22" t="s">
        <v>15</v>
      </c>
      <c r="C97" s="20">
        <v>20.75</v>
      </c>
      <c r="D97" s="20">
        <v>20.75</v>
      </c>
      <c r="E97" s="20" t="s">
        <v>22</v>
      </c>
      <c r="F97" s="20">
        <v>5</v>
      </c>
    </row>
    <row r="98" spans="1:6" x14ac:dyDescent="0.2">
      <c r="A98" s="20">
        <v>20</v>
      </c>
      <c r="B98" s="22" t="s">
        <v>26</v>
      </c>
      <c r="C98" s="20">
        <v>41.5</v>
      </c>
      <c r="D98" s="20">
        <v>20.75</v>
      </c>
      <c r="E98" s="20" t="s">
        <v>22</v>
      </c>
      <c r="F98" s="20">
        <v>5</v>
      </c>
    </row>
    <row r="99" spans="1:6" x14ac:dyDescent="0.2">
      <c r="A99" s="20">
        <v>20</v>
      </c>
      <c r="B99" s="22" t="s">
        <v>15</v>
      </c>
      <c r="C99" s="20">
        <v>4639.6000000000004</v>
      </c>
      <c r="D99" s="20">
        <v>463.96</v>
      </c>
      <c r="E99" s="20" t="s">
        <v>22</v>
      </c>
      <c r="F99" s="20">
        <v>3</v>
      </c>
    </row>
    <row r="100" spans="1:6" x14ac:dyDescent="0.2">
      <c r="A100" s="20">
        <v>19</v>
      </c>
      <c r="B100" s="22" t="s">
        <v>15</v>
      </c>
      <c r="C100" s="20">
        <v>988.12</v>
      </c>
      <c r="D100" s="20">
        <v>247.03</v>
      </c>
      <c r="E100" s="20" t="s">
        <v>22</v>
      </c>
      <c r="F100" s="20">
        <v>3</v>
      </c>
    </row>
    <row r="101" spans="1:6" x14ac:dyDescent="0.2">
      <c r="A101" s="20">
        <v>68</v>
      </c>
      <c r="B101" s="22" t="s">
        <v>15</v>
      </c>
      <c r="C101" s="20">
        <v>1582.38</v>
      </c>
      <c r="D101" s="20">
        <v>791.19</v>
      </c>
      <c r="E101" s="20" t="s">
        <v>18</v>
      </c>
      <c r="F101" s="20">
        <v>2</v>
      </c>
    </row>
    <row r="102" spans="1:6" x14ac:dyDescent="0.2">
      <c r="A102" s="20">
        <v>68</v>
      </c>
      <c r="B102" s="22" t="s">
        <v>15</v>
      </c>
      <c r="C102" s="20">
        <v>1391.88</v>
      </c>
      <c r="D102" s="20">
        <v>463.96</v>
      </c>
      <c r="E102" s="20" t="s">
        <v>18</v>
      </c>
      <c r="F102" s="20">
        <v>3</v>
      </c>
    </row>
    <row r="103" spans="1:6" x14ac:dyDescent="0.2">
      <c r="A103" s="20">
        <v>63</v>
      </c>
      <c r="B103" s="22" t="s">
        <v>26</v>
      </c>
      <c r="C103" s="20">
        <v>741.09</v>
      </c>
      <c r="D103" s="20">
        <v>247.03</v>
      </c>
      <c r="E103" s="20" t="s">
        <v>22</v>
      </c>
      <c r="F103" s="20">
        <v>3</v>
      </c>
    </row>
    <row r="104" spans="1:6" x14ac:dyDescent="0.2">
      <c r="A104" s="20">
        <v>63</v>
      </c>
      <c r="B104" s="22" t="s">
        <v>26</v>
      </c>
      <c r="C104" s="20">
        <v>3379.32</v>
      </c>
      <c r="D104" s="20">
        <v>844.83</v>
      </c>
      <c r="E104" s="20" t="s">
        <v>22</v>
      </c>
      <c r="F104" s="20">
        <v>3</v>
      </c>
    </row>
    <row r="105" spans="1:6" x14ac:dyDescent="0.2">
      <c r="A105" s="20">
        <v>33</v>
      </c>
      <c r="B105" s="22" t="s">
        <v>26</v>
      </c>
      <c r="C105" s="20">
        <v>207.5</v>
      </c>
      <c r="D105" s="20">
        <v>20.75</v>
      </c>
      <c r="E105" s="20" t="s">
        <v>22</v>
      </c>
      <c r="F105" s="20">
        <v>5</v>
      </c>
    </row>
    <row r="106" spans="1:6" x14ac:dyDescent="0.2">
      <c r="A106" s="20">
        <v>33</v>
      </c>
      <c r="B106" s="22" t="s">
        <v>15</v>
      </c>
      <c r="C106" s="20">
        <v>791.19</v>
      </c>
      <c r="D106" s="20">
        <v>791.19</v>
      </c>
      <c r="E106" s="20" t="s">
        <v>18</v>
      </c>
      <c r="F106" s="20">
        <v>2</v>
      </c>
    </row>
    <row r="107" spans="1:6" x14ac:dyDescent="0.2">
      <c r="A107" s="20">
        <v>33</v>
      </c>
      <c r="B107" s="22" t="s">
        <v>15</v>
      </c>
      <c r="C107" s="20">
        <v>41.5</v>
      </c>
      <c r="D107" s="20">
        <v>20.75</v>
      </c>
      <c r="E107" s="20" t="s">
        <v>22</v>
      </c>
      <c r="F107" s="20">
        <v>5</v>
      </c>
    </row>
    <row r="108" spans="1:6" x14ac:dyDescent="0.2">
      <c r="A108" s="20">
        <v>33</v>
      </c>
      <c r="B108" s="22" t="s">
        <v>15</v>
      </c>
      <c r="C108" s="20">
        <v>62.25</v>
      </c>
      <c r="D108" s="20">
        <v>20.75</v>
      </c>
      <c r="E108" s="20" t="s">
        <v>22</v>
      </c>
      <c r="F108" s="20">
        <v>5</v>
      </c>
    </row>
    <row r="109" spans="1:6" x14ac:dyDescent="0.2">
      <c r="A109" s="20">
        <v>55</v>
      </c>
      <c r="B109" s="22" t="s">
        <v>15</v>
      </c>
      <c r="C109" s="20">
        <v>166</v>
      </c>
      <c r="D109" s="20">
        <v>20.75</v>
      </c>
      <c r="E109" s="20" t="s">
        <v>18</v>
      </c>
      <c r="F109" s="20">
        <v>5</v>
      </c>
    </row>
    <row r="110" spans="1:6" x14ac:dyDescent="0.2">
      <c r="A110" s="20">
        <v>42</v>
      </c>
      <c r="B110" s="22" t="s">
        <v>15</v>
      </c>
      <c r="C110" s="20">
        <v>1482.18</v>
      </c>
      <c r="D110" s="20">
        <v>247.03</v>
      </c>
      <c r="E110" s="20" t="s">
        <v>22</v>
      </c>
      <c r="F110" s="20">
        <v>3</v>
      </c>
    </row>
    <row r="111" spans="1:6" x14ac:dyDescent="0.2">
      <c r="A111" s="20">
        <v>37</v>
      </c>
      <c r="B111" s="22" t="s">
        <v>15</v>
      </c>
      <c r="C111" s="20">
        <v>1855.84</v>
      </c>
      <c r="D111" s="20">
        <v>463.96</v>
      </c>
      <c r="E111" s="20" t="s">
        <v>18</v>
      </c>
      <c r="F111" s="20">
        <v>3</v>
      </c>
    </row>
    <row r="112" spans="1:6" x14ac:dyDescent="0.2">
      <c r="A112" s="20">
        <v>37</v>
      </c>
      <c r="B112" s="22" t="s">
        <v>26</v>
      </c>
      <c r="C112" s="20">
        <v>186.75</v>
      </c>
      <c r="D112" s="20">
        <v>20.75</v>
      </c>
      <c r="E112" s="20" t="s">
        <v>22</v>
      </c>
      <c r="F112" s="20">
        <v>5</v>
      </c>
    </row>
    <row r="113" spans="1:6" x14ac:dyDescent="0.2">
      <c r="A113" s="20">
        <v>76</v>
      </c>
      <c r="B113" s="22" t="s">
        <v>15</v>
      </c>
      <c r="C113" s="20">
        <v>207.5</v>
      </c>
      <c r="D113" s="20">
        <v>20.75</v>
      </c>
      <c r="E113" s="20" t="s">
        <v>22</v>
      </c>
      <c r="F113" s="20">
        <v>5</v>
      </c>
    </row>
    <row r="114" spans="1:6" x14ac:dyDescent="0.2">
      <c r="A114" s="20">
        <v>58</v>
      </c>
      <c r="B114" s="22" t="s">
        <v>15</v>
      </c>
      <c r="C114" s="20">
        <v>2223.27</v>
      </c>
      <c r="D114" s="20">
        <v>247.03</v>
      </c>
      <c r="E114" s="20" t="s">
        <v>22</v>
      </c>
      <c r="F114" s="20">
        <v>3</v>
      </c>
    </row>
    <row r="115" spans="1:6" x14ac:dyDescent="0.2">
      <c r="A115" s="20">
        <v>58</v>
      </c>
      <c r="B115" s="22" t="s">
        <v>15</v>
      </c>
      <c r="C115" s="20">
        <v>2223.27</v>
      </c>
      <c r="D115" s="20">
        <v>247.03</v>
      </c>
      <c r="E115" s="20" t="s">
        <v>22</v>
      </c>
      <c r="F115" s="20">
        <v>3</v>
      </c>
    </row>
    <row r="116" spans="1:6" x14ac:dyDescent="0.2">
      <c r="A116" s="20">
        <v>25</v>
      </c>
      <c r="B116" s="22" t="s">
        <v>15</v>
      </c>
      <c r="C116" s="20">
        <v>4747.1400000000003</v>
      </c>
      <c r="D116" s="20">
        <v>791.19</v>
      </c>
      <c r="E116" s="20" t="s">
        <v>22</v>
      </c>
      <c r="F116" s="20">
        <v>2</v>
      </c>
    </row>
    <row r="117" spans="1:6" x14ac:dyDescent="0.2">
      <c r="A117" s="20">
        <v>31</v>
      </c>
      <c r="B117" s="22" t="s">
        <v>15</v>
      </c>
      <c r="C117" s="20">
        <v>791.19</v>
      </c>
      <c r="D117" s="20">
        <v>791.19</v>
      </c>
      <c r="E117" s="20" t="s">
        <v>18</v>
      </c>
      <c r="F117" s="20">
        <v>2</v>
      </c>
    </row>
    <row r="118" spans="1:6" x14ac:dyDescent="0.2">
      <c r="A118" s="20">
        <v>31</v>
      </c>
      <c r="B118" s="22" t="s">
        <v>26</v>
      </c>
      <c r="C118" s="20">
        <v>844.83</v>
      </c>
      <c r="D118" s="20">
        <v>844.83</v>
      </c>
      <c r="E118" s="20" t="s">
        <v>22</v>
      </c>
      <c r="F118" s="20">
        <v>3</v>
      </c>
    </row>
    <row r="119" spans="1:6" x14ac:dyDescent="0.2">
      <c r="A119" s="20">
        <v>31</v>
      </c>
      <c r="B119" s="22" t="s">
        <v>15</v>
      </c>
      <c r="C119" s="20">
        <v>247.03</v>
      </c>
      <c r="D119" s="20">
        <v>247.03</v>
      </c>
      <c r="E119" s="20" t="s">
        <v>22</v>
      </c>
      <c r="F119" s="20">
        <v>3</v>
      </c>
    </row>
    <row r="120" spans="1:6" x14ac:dyDescent="0.2">
      <c r="A120" s="20">
        <v>55</v>
      </c>
      <c r="B120" s="22" t="s">
        <v>15</v>
      </c>
      <c r="C120" s="20">
        <v>4175.6400000000003</v>
      </c>
      <c r="D120" s="20">
        <v>463.96</v>
      </c>
      <c r="E120" s="20" t="s">
        <v>18</v>
      </c>
      <c r="F120" s="20">
        <v>3</v>
      </c>
    </row>
    <row r="121" spans="1:6" x14ac:dyDescent="0.2">
      <c r="A121" s="20">
        <v>55</v>
      </c>
      <c r="B121" s="22" t="s">
        <v>15</v>
      </c>
      <c r="C121" s="20">
        <v>4175.6400000000003</v>
      </c>
      <c r="D121" s="20">
        <v>463.96</v>
      </c>
      <c r="E121" s="20" t="s">
        <v>22</v>
      </c>
      <c r="F121" s="20">
        <v>3</v>
      </c>
    </row>
    <row r="122" spans="1:6" x14ac:dyDescent="0.2">
      <c r="A122" s="20">
        <v>34</v>
      </c>
      <c r="B122" s="22" t="s">
        <v>15</v>
      </c>
      <c r="C122" s="20">
        <v>1689.66</v>
      </c>
      <c r="D122" s="20">
        <v>844.83</v>
      </c>
      <c r="E122" s="20" t="s">
        <v>22</v>
      </c>
      <c r="F122" s="20">
        <v>3</v>
      </c>
    </row>
    <row r="123" spans="1:6" x14ac:dyDescent="0.2">
      <c r="A123" s="20">
        <v>24</v>
      </c>
      <c r="B123" s="22" t="s">
        <v>15</v>
      </c>
      <c r="C123" s="20">
        <v>1482.18</v>
      </c>
      <c r="D123" s="20">
        <v>247.03</v>
      </c>
      <c r="E123" s="20" t="s">
        <v>22</v>
      </c>
      <c r="F123" s="20">
        <v>3</v>
      </c>
    </row>
    <row r="124" spans="1:6" x14ac:dyDescent="0.2">
      <c r="A124" s="20">
        <v>40</v>
      </c>
      <c r="B124" s="22" t="s">
        <v>26</v>
      </c>
      <c r="C124" s="20">
        <v>186.75</v>
      </c>
      <c r="D124" s="20">
        <v>20.75</v>
      </c>
      <c r="E124" s="20" t="s">
        <v>22</v>
      </c>
      <c r="F124" s="20">
        <v>5</v>
      </c>
    </row>
    <row r="125" spans="1:6" x14ac:dyDescent="0.2">
      <c r="A125" s="20">
        <v>40</v>
      </c>
      <c r="B125" s="22" t="s">
        <v>15</v>
      </c>
      <c r="C125" s="20">
        <v>103.75</v>
      </c>
      <c r="D125" s="20">
        <v>20.75</v>
      </c>
      <c r="E125" s="20" t="s">
        <v>18</v>
      </c>
      <c r="F125" s="20">
        <v>5</v>
      </c>
    </row>
    <row r="126" spans="1:6" x14ac:dyDescent="0.2">
      <c r="A126" s="20">
        <v>69</v>
      </c>
      <c r="B126" s="22" t="s">
        <v>26</v>
      </c>
      <c r="C126" s="20">
        <v>5538.33</v>
      </c>
      <c r="D126" s="20">
        <v>791.19</v>
      </c>
      <c r="E126" s="20" t="s">
        <v>18</v>
      </c>
      <c r="F126" s="20">
        <v>2</v>
      </c>
    </row>
    <row r="127" spans="1:6" x14ac:dyDescent="0.2">
      <c r="A127" s="20">
        <v>79</v>
      </c>
      <c r="B127" s="22" t="s">
        <v>26</v>
      </c>
      <c r="C127" s="20">
        <v>6758.64</v>
      </c>
      <c r="D127" s="20">
        <v>844.83</v>
      </c>
      <c r="E127" s="20" t="s">
        <v>18</v>
      </c>
      <c r="F127" s="20">
        <v>3</v>
      </c>
    </row>
    <row r="128" spans="1:6" x14ac:dyDescent="0.2">
      <c r="A128" s="20">
        <v>79</v>
      </c>
      <c r="B128" s="22" t="s">
        <v>26</v>
      </c>
      <c r="C128" s="20">
        <v>791.19</v>
      </c>
      <c r="D128" s="20">
        <v>791.19</v>
      </c>
      <c r="E128" s="20" t="s">
        <v>22</v>
      </c>
      <c r="F128" s="20">
        <v>2</v>
      </c>
    </row>
    <row r="129" spans="1:6" x14ac:dyDescent="0.2">
      <c r="A129" s="20">
        <v>24</v>
      </c>
      <c r="B129" s="22" t="s">
        <v>15</v>
      </c>
      <c r="C129" s="20">
        <v>1855.84</v>
      </c>
      <c r="D129" s="20">
        <v>463.96</v>
      </c>
      <c r="E129" s="20" t="s">
        <v>22</v>
      </c>
      <c r="F129" s="20">
        <v>3</v>
      </c>
    </row>
    <row r="130" spans="1:6" x14ac:dyDescent="0.2">
      <c r="A130" s="20">
        <v>24</v>
      </c>
      <c r="B130" s="22" t="s">
        <v>26</v>
      </c>
      <c r="C130" s="20">
        <v>3711.68</v>
      </c>
      <c r="D130" s="20">
        <v>463.96</v>
      </c>
      <c r="E130" s="20" t="s">
        <v>22</v>
      </c>
      <c r="F130" s="20">
        <v>3</v>
      </c>
    </row>
    <row r="131" spans="1:6" x14ac:dyDescent="0.2">
      <c r="A131" s="20">
        <v>24</v>
      </c>
      <c r="B131" s="22" t="s">
        <v>15</v>
      </c>
      <c r="C131" s="20">
        <v>3164.76</v>
      </c>
      <c r="D131" s="20">
        <v>791.19</v>
      </c>
      <c r="E131" s="20" t="s">
        <v>22</v>
      </c>
      <c r="F131" s="20">
        <v>2</v>
      </c>
    </row>
    <row r="132" spans="1:6" x14ac:dyDescent="0.2">
      <c r="A132" s="20">
        <v>46</v>
      </c>
      <c r="B132" s="22" t="s">
        <v>15</v>
      </c>
      <c r="C132" s="20">
        <v>5913.81</v>
      </c>
      <c r="D132" s="20">
        <v>844.83</v>
      </c>
      <c r="E132" s="20" t="s">
        <v>22</v>
      </c>
      <c r="F132" s="20">
        <v>3</v>
      </c>
    </row>
    <row r="133" spans="1:6" x14ac:dyDescent="0.2">
      <c r="A133" s="20">
        <v>46</v>
      </c>
      <c r="B133" s="22" t="s">
        <v>15</v>
      </c>
      <c r="C133" s="20">
        <v>3711.68</v>
      </c>
      <c r="D133" s="20">
        <v>463.96</v>
      </c>
      <c r="E133" s="20" t="s">
        <v>22</v>
      </c>
      <c r="F133" s="20">
        <v>3</v>
      </c>
    </row>
    <row r="134" spans="1:6" x14ac:dyDescent="0.2">
      <c r="A134" s="20">
        <v>80</v>
      </c>
      <c r="B134" s="22" t="s">
        <v>15</v>
      </c>
      <c r="C134" s="20">
        <v>6758.64</v>
      </c>
      <c r="D134" s="20">
        <v>844.83</v>
      </c>
      <c r="E134" s="20" t="s">
        <v>22</v>
      </c>
      <c r="F134" s="20">
        <v>3</v>
      </c>
    </row>
    <row r="135" spans="1:6" x14ac:dyDescent="0.2">
      <c r="A135" s="20">
        <v>80</v>
      </c>
      <c r="B135" s="22" t="s">
        <v>15</v>
      </c>
      <c r="C135" s="20">
        <v>166</v>
      </c>
      <c r="D135" s="20">
        <v>20.75</v>
      </c>
      <c r="E135" s="20" t="s">
        <v>18</v>
      </c>
      <c r="F135" s="20">
        <v>5</v>
      </c>
    </row>
    <row r="136" spans="1:6" x14ac:dyDescent="0.2">
      <c r="A136" s="20">
        <v>36</v>
      </c>
      <c r="B136" s="22" t="s">
        <v>26</v>
      </c>
      <c r="C136" s="20">
        <v>20.75</v>
      </c>
      <c r="D136" s="20">
        <v>20.75</v>
      </c>
      <c r="E136" s="20" t="s">
        <v>18</v>
      </c>
      <c r="F136" s="20">
        <v>5</v>
      </c>
    </row>
    <row r="137" spans="1:6" x14ac:dyDescent="0.2">
      <c r="A137" s="20">
        <v>75</v>
      </c>
      <c r="B137" s="22" t="s">
        <v>26</v>
      </c>
      <c r="C137" s="20">
        <v>4747.1400000000003</v>
      </c>
      <c r="D137" s="20">
        <v>791.19</v>
      </c>
      <c r="E137" s="20" t="s">
        <v>22</v>
      </c>
      <c r="F137" s="20">
        <v>2</v>
      </c>
    </row>
    <row r="138" spans="1:6" x14ac:dyDescent="0.2">
      <c r="A138" s="20">
        <v>18</v>
      </c>
      <c r="B138" s="22" t="s">
        <v>26</v>
      </c>
      <c r="C138" s="20">
        <v>124.5</v>
      </c>
      <c r="D138" s="20">
        <v>20.75</v>
      </c>
      <c r="E138" s="20" t="s">
        <v>22</v>
      </c>
      <c r="F138" s="20">
        <v>5</v>
      </c>
    </row>
    <row r="139" spans="1:6" x14ac:dyDescent="0.2">
      <c r="A139" s="20">
        <v>25</v>
      </c>
      <c r="B139" s="22" t="s">
        <v>15</v>
      </c>
      <c r="C139" s="20">
        <v>1391.88</v>
      </c>
      <c r="D139" s="20">
        <v>463.96</v>
      </c>
      <c r="E139" s="20" t="s">
        <v>22</v>
      </c>
      <c r="F139" s="20">
        <v>3</v>
      </c>
    </row>
    <row r="140" spans="1:6" x14ac:dyDescent="0.2">
      <c r="A140" s="20">
        <v>25</v>
      </c>
      <c r="B140" s="22" t="s">
        <v>26</v>
      </c>
      <c r="C140" s="20">
        <v>6758.64</v>
      </c>
      <c r="D140" s="20">
        <v>844.83</v>
      </c>
      <c r="E140" s="20" t="s">
        <v>22</v>
      </c>
      <c r="F140" s="20">
        <v>3</v>
      </c>
    </row>
    <row r="141" spans="1:6" x14ac:dyDescent="0.2">
      <c r="A141" s="20">
        <v>23</v>
      </c>
      <c r="B141" s="22" t="s">
        <v>26</v>
      </c>
      <c r="C141" s="20">
        <v>6329.52</v>
      </c>
      <c r="D141" s="20">
        <v>791.19</v>
      </c>
      <c r="E141" s="20" t="s">
        <v>22</v>
      </c>
      <c r="F141" s="20">
        <v>2</v>
      </c>
    </row>
    <row r="142" spans="1:6" x14ac:dyDescent="0.2">
      <c r="A142" s="20">
        <v>23</v>
      </c>
      <c r="B142" s="22" t="s">
        <v>15</v>
      </c>
      <c r="C142" s="20">
        <v>927.92</v>
      </c>
      <c r="D142" s="20">
        <v>463.96</v>
      </c>
      <c r="E142" s="20" t="s">
        <v>22</v>
      </c>
      <c r="F142" s="20">
        <v>3</v>
      </c>
    </row>
    <row r="143" spans="1:6" x14ac:dyDescent="0.2">
      <c r="A143" s="20">
        <v>23</v>
      </c>
      <c r="B143" s="22" t="s">
        <v>15</v>
      </c>
      <c r="C143" s="20">
        <v>3711.68</v>
      </c>
      <c r="D143" s="20">
        <v>463.96</v>
      </c>
      <c r="E143" s="20" t="s">
        <v>18</v>
      </c>
      <c r="F143" s="20">
        <v>3</v>
      </c>
    </row>
    <row r="144" spans="1:6" x14ac:dyDescent="0.2">
      <c r="A144" s="20">
        <v>23</v>
      </c>
      <c r="B144" s="22" t="s">
        <v>15</v>
      </c>
      <c r="C144" s="20">
        <v>7120.71</v>
      </c>
      <c r="D144" s="20">
        <v>791.19</v>
      </c>
      <c r="E144" s="20" t="s">
        <v>22</v>
      </c>
      <c r="F144" s="20">
        <v>2</v>
      </c>
    </row>
    <row r="145" spans="1:6" x14ac:dyDescent="0.2">
      <c r="A145" s="20">
        <v>20</v>
      </c>
      <c r="B145" s="22" t="s">
        <v>15</v>
      </c>
      <c r="C145" s="20">
        <v>844.83</v>
      </c>
      <c r="D145" s="20">
        <v>844.83</v>
      </c>
      <c r="E145" s="20" t="s">
        <v>22</v>
      </c>
      <c r="F145" s="20">
        <v>3</v>
      </c>
    </row>
    <row r="146" spans="1:6" x14ac:dyDescent="0.2">
      <c r="A146" s="20">
        <v>56</v>
      </c>
      <c r="B146" s="22" t="s">
        <v>15</v>
      </c>
      <c r="C146" s="20">
        <v>6329.52</v>
      </c>
      <c r="D146" s="20">
        <v>791.19</v>
      </c>
      <c r="E146" s="20" t="s">
        <v>18</v>
      </c>
      <c r="F146" s="20">
        <v>2</v>
      </c>
    </row>
    <row r="147" spans="1:6" x14ac:dyDescent="0.2">
      <c r="A147" s="20">
        <v>61</v>
      </c>
      <c r="B147" s="22" t="s">
        <v>15</v>
      </c>
      <c r="C147" s="20">
        <v>20.75</v>
      </c>
      <c r="D147" s="20">
        <v>20.75</v>
      </c>
      <c r="E147" s="20" t="s">
        <v>22</v>
      </c>
      <c r="F147" s="20">
        <v>5</v>
      </c>
    </row>
    <row r="148" spans="1:6" x14ac:dyDescent="0.2">
      <c r="A148" s="20">
        <v>61</v>
      </c>
      <c r="B148" s="22" t="s">
        <v>15</v>
      </c>
      <c r="C148" s="20">
        <v>1391.88</v>
      </c>
      <c r="D148" s="20">
        <v>463.96</v>
      </c>
      <c r="E148" s="20" t="s">
        <v>22</v>
      </c>
      <c r="F148" s="20">
        <v>3</v>
      </c>
    </row>
    <row r="149" spans="1:6" x14ac:dyDescent="0.2">
      <c r="A149" s="20">
        <v>61</v>
      </c>
      <c r="B149" s="22" t="s">
        <v>15</v>
      </c>
      <c r="C149" s="20">
        <v>3711.68</v>
      </c>
      <c r="D149" s="20">
        <v>463.96</v>
      </c>
      <c r="E149" s="20" t="s">
        <v>22</v>
      </c>
      <c r="F149" s="20">
        <v>3</v>
      </c>
    </row>
    <row r="150" spans="1:6" x14ac:dyDescent="0.2">
      <c r="A150" s="20">
        <v>63</v>
      </c>
      <c r="B150" s="22" t="s">
        <v>15</v>
      </c>
      <c r="C150" s="20">
        <v>4175.6400000000003</v>
      </c>
      <c r="D150" s="20">
        <v>463.96</v>
      </c>
      <c r="E150" s="20" t="s">
        <v>22</v>
      </c>
      <c r="F150" s="20">
        <v>3</v>
      </c>
    </row>
  </sheetData>
  <conditionalFormatting sqref="A2:A150">
    <cfRule type="cellIs" dxfId="10" priority="3" operator="between">
      <formula>20</formula>
      <formula>30</formula>
    </cfRule>
    <cfRule type="cellIs" dxfId="9" priority="4" operator="between">
      <formula>30</formula>
      <formula>60</formula>
    </cfRule>
    <cfRule type="cellIs" dxfId="8" priority="5" operator="between">
      <formula>60</formula>
      <formula>80</formula>
    </cfRule>
    <cfRule type="cellIs" dxfId="7" priority="6" operator="greaterThan">
      <formula>80</formula>
    </cfRule>
  </conditionalFormatting>
  <conditionalFormatting sqref="B1:B1048576">
    <cfRule type="containsText" dxfId="6" priority="17" operator="containsText" text="yes">
      <formula>NOT(ISERROR(SEARCH("yes",B1)))</formula>
    </cfRule>
    <cfRule type="containsText" dxfId="5" priority="18" operator="containsText" text="no">
      <formula>NOT(ISERROR(SEARCH("no",B1)))</formula>
    </cfRule>
    <cfRule type="containsText" dxfId="4" priority="19" operator="containsText" text="Yes">
      <formula>NOT(ISERROR(SEARCH("Yes",B1)))</formula>
    </cfRule>
    <cfRule type="dataBar" priority="20">
      <dataBar>
        <cfvo type="min"/>
        <cfvo type="max"/>
        <color rgb="FF638EC6"/>
      </dataBar>
      <extLst>
        <ext xmlns:x14="http://schemas.microsoft.com/office/spreadsheetml/2009/9/main" uri="{B025F937-C7B1-47D3-B67F-A62EFF666E3E}">
          <x14:id>{35DFB448-C862-954F-95AE-5208A47BAB09}</x14:id>
        </ext>
      </extLst>
    </cfRule>
  </conditionalFormatting>
  <conditionalFormatting sqref="C1:C1048576">
    <cfRule type="dataBar" priority="10">
      <dataBar>
        <cfvo type="min"/>
        <cfvo type="max"/>
        <color rgb="FFFFB628"/>
      </dataBar>
      <extLst>
        <ext xmlns:x14="http://schemas.microsoft.com/office/spreadsheetml/2009/9/main" uri="{B025F937-C7B1-47D3-B67F-A62EFF666E3E}">
          <x14:id>{71D8B2C7-D5DB-5B4B-A94E-6696A5CF7E5E}</x14:id>
        </ext>
      </extLst>
    </cfRule>
  </conditionalFormatting>
  <conditionalFormatting sqref="C2:C150">
    <cfRule type="iconSet" priority="16">
      <iconSet>
        <cfvo type="percent" val="0"/>
        <cfvo type="percent" val="33"/>
        <cfvo type="percent" val="67"/>
      </iconSet>
    </cfRule>
  </conditionalFormatting>
  <conditionalFormatting sqref="D1:D1048576">
    <cfRule type="iconSet" priority="14">
      <iconSet iconSet="3Arrows">
        <cfvo type="percent" val="0"/>
        <cfvo type="percent" val="33"/>
        <cfvo type="percent" val="67"/>
      </iconSet>
    </cfRule>
  </conditionalFormatting>
  <conditionalFormatting sqref="D2:D150">
    <cfRule type="dataBar" priority="13">
      <dataBar>
        <cfvo type="min"/>
        <cfvo type="max"/>
        <color rgb="FF63C384"/>
      </dataBar>
      <extLst>
        <ext xmlns:x14="http://schemas.microsoft.com/office/spreadsheetml/2009/9/main" uri="{B025F937-C7B1-47D3-B67F-A62EFF666E3E}">
          <x14:id>{E498BB40-2933-AA46-BE49-EEDA35C2F724}</x14:id>
        </ext>
      </extLst>
    </cfRule>
  </conditionalFormatting>
  <conditionalFormatting sqref="E1:E1048576">
    <cfRule type="containsText" dxfId="3" priority="1" operator="containsText" text="Completed">
      <formula>NOT(ISERROR(SEARCH("Completed",E1)))</formula>
    </cfRule>
    <cfRule type="containsText" dxfId="2" priority="2" operator="containsText" text="Cancelled">
      <formula>NOT(ISERROR(SEARCH("Cancelled",E1)))</formula>
    </cfRule>
  </conditionalFormatting>
  <conditionalFormatting sqref="E2">
    <cfRule type="iconSet" priority="11">
      <iconSet iconSet="3Symbols">
        <cfvo type="percent" val="0"/>
        <cfvo type="percent" val="33"/>
        <cfvo type="percent" val="67"/>
      </iconSet>
    </cfRule>
  </conditionalFormatting>
  <conditionalFormatting sqref="E2:E150">
    <cfRule type="containsText" dxfId="1" priority="8" operator="containsText" text="Completed">
      <formula>NOT(ISERROR(SEARCH("Completed",E2)))</formula>
    </cfRule>
    <cfRule type="containsText" dxfId="0" priority="9" operator="containsText" text="Cancelled">
      <formula>NOT(ISERROR(SEARCH("Cancelled",E2)))</formula>
    </cfRule>
    <cfRule type="iconSet" priority="12">
      <iconSet iconSet="3Symbols">
        <cfvo type="percent" val="0"/>
        <cfvo type="percent" val="33"/>
        <cfvo type="percent" val="67"/>
      </iconSe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35DFB448-C862-954F-95AE-5208A47BAB09}">
            <x14:dataBar minLength="0" maxLength="100" gradient="0">
              <x14:cfvo type="autoMin"/>
              <x14:cfvo type="autoMax"/>
              <x14:negativeFillColor rgb="FFFF0000"/>
              <x14:axisColor rgb="FF000000"/>
            </x14:dataBar>
          </x14:cfRule>
          <xm:sqref>B1:B1048576</xm:sqref>
        </x14:conditionalFormatting>
        <x14:conditionalFormatting xmlns:xm="http://schemas.microsoft.com/office/excel/2006/main">
          <x14:cfRule type="dataBar" id="{71D8B2C7-D5DB-5B4B-A94E-6696A5CF7E5E}">
            <x14:dataBar minLength="0" maxLength="100" border="1" negativeBarBorderColorSameAsPositive="0">
              <x14:cfvo type="autoMin"/>
              <x14:cfvo type="autoMax"/>
              <x14:borderColor rgb="FFFFB628"/>
              <x14:negativeFillColor rgb="FFFF0000"/>
              <x14:negativeBorderColor rgb="FFFF0000"/>
              <x14:axisColor rgb="FF000000"/>
            </x14:dataBar>
          </x14:cfRule>
          <xm:sqref>C1:C1048576</xm:sqref>
        </x14:conditionalFormatting>
        <x14:conditionalFormatting xmlns:xm="http://schemas.microsoft.com/office/excel/2006/main">
          <x14:cfRule type="dataBar" id="{E498BB40-2933-AA46-BE49-EEDA35C2F724}">
            <x14:dataBar minLength="0" maxLength="100" border="1" negativeBarBorderColorSameAsPositive="0">
              <x14:cfvo type="autoMin"/>
              <x14:cfvo type="autoMax"/>
              <x14:borderColor rgb="FF63C384"/>
              <x14:negativeFillColor rgb="FFFF0000"/>
              <x14:negativeBorderColor rgb="FFFF0000"/>
              <x14:axisColor rgb="FF000000"/>
            </x14:dataBar>
          </x14:cfRule>
          <xm:sqref>D2:D150</xm:sqref>
        </x14:conditionalFormatting>
        <x14:conditionalFormatting xmlns:xm="http://schemas.microsoft.com/office/excel/2006/main">
          <x14:cfRule type="iconSet" priority="7" id="{B489E3F9-CFBF-9346-9466-0F3A8281925A}">
            <x14:iconSet iconSet="3Triangles">
              <x14:cfvo type="percent">
                <xm:f>0</xm:f>
              </x14:cfvo>
              <x14:cfvo type="percent">
                <xm:f>33</xm:f>
              </x14:cfvo>
              <x14:cfvo type="percent">
                <xm:f>67</xm:f>
              </x14:cfvo>
            </x14:iconSet>
          </x14:cfRule>
          <xm:sqref>F1:F1048576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Scenario Summary</vt:lpstr>
      <vt:lpstr>PIVOT TABLE</vt:lpstr>
      <vt:lpstr>Charts Of Pivot Tables</vt:lpstr>
      <vt:lpstr>Dynamic Ranges</vt:lpstr>
      <vt:lpstr>ELECTRONIC DATASET</vt:lpstr>
      <vt:lpstr>Conditional Formmating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JENISH PATEL</dc:creator>
  <cp:lastModifiedBy>JENISH PATEL</cp:lastModifiedBy>
  <dcterms:created xsi:type="dcterms:W3CDTF">2026-02-28T04:12:49Z</dcterms:created>
  <dcterms:modified xsi:type="dcterms:W3CDTF">2026-03-01T13:36:01Z</dcterms:modified>
</cp:coreProperties>
</file>